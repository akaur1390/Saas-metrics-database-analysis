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AAS_METRICS_DATABASE\"/>
    </mc:Choice>
  </mc:AlternateContent>
  <xr:revisionPtr revIDLastSave="0" documentId="13_ncr:1_{D5082B37-3667-4D4B-A601-6C8EC7B52AB7}" xr6:coauthVersionLast="47" xr6:coauthVersionMax="47" xr10:uidLastSave="{00000000-0000-0000-0000-000000000000}"/>
  <bookViews>
    <workbookView xWindow="-120" yWindow="-120" windowWidth="20730" windowHeight="11040" tabRatio="862" activeTab="2" xr2:uid="{4CADC937-28E4-4CEE-8CA8-6EAD75FD3553}"/>
  </bookViews>
  <sheets>
    <sheet name="DataBackend" sheetId="2" r:id="rId1"/>
    <sheet name="Pivot Calculations" sheetId="6" r:id="rId2"/>
    <sheet name="Executive Dashboard" sheetId="1" r:id="rId3"/>
  </sheets>
  <definedNames>
    <definedName name="_xlcn.WorksheetConnection_MYPROJECT.xlsxClientTable1" hidden="1">ClientTable[]</definedName>
    <definedName name="_xlcn.WorksheetConnection_MYPROJECT.xlsxplanTable1" hidden="1">planTable[]</definedName>
    <definedName name="_xlcn.WorksheetConnection_MYPROJECT.xlsxsaasDAProject1" hidden="1">saasDAProject[]</definedName>
    <definedName name="_xlcn.WorksheetConnection_MYPROJECT.xlsxsubscriptionTable1" hidden="1">subscriptionTable[]</definedName>
    <definedName name="ExternalData_1" localSheetId="0" hidden="1">DataBackend!$A$1:$F$4</definedName>
    <definedName name="ExternalData_2" localSheetId="0" hidden="1">DataBackend!$J$1:$P$4</definedName>
    <definedName name="ExternalData_3" localSheetId="0" hidden="1">DataBackend!$S$1:$V$11</definedName>
    <definedName name="ExternalData_4" localSheetId="0" hidden="1">DataBackend!$Z$1:$AC$4</definedName>
    <definedName name="ExternalData_5" localSheetId="0" hidden="1">DataBackend!$AF$1:$AK$51</definedName>
    <definedName name="LIST1">DataBackend!$AF:$AK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bscriptionTable" name="subscriptionTable" connection="WorksheetConnection_MYPROJECT.xlsx!subscriptionTable"/>
          <x15:modelTable id="saasDAProject" name="saasDAProject" connection="WorksheetConnection_MYPROJECT.xlsx!saasDAProject"/>
          <x15:modelTable id="planTable" name="planTable" connection="WorksheetConnection_MYPROJECT.xlsx!planTable"/>
          <x15:modelTable id="ClientTable" name="ClientTable" connection="WorksheetConnection_MYPROJECT.xlsx!ClientTable"/>
        </x15:modelTables>
        <x15:modelRelationships>
          <x15:modelRelationship fromTable="subscriptionTable" fromColumn="Client_id" toTable="ClientTable" toColumn="ID"/>
          <x15:modelRelationship fromTable="subscriptionTable" fromColumn="Plan_id" toTable="planTable" toColumn="Plan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AN7" i="2"/>
  <c r="AN6" i="2"/>
  <c r="AN5" i="2"/>
  <c r="AN4" i="2"/>
  <c r="AN3" i="2"/>
  <c r="C2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810AE1-8BCA-41C3-9502-4A88BB2905E7}" keepAlive="1" name="Query - ClientTable" description="Connection to the 'ClientTable' query in the workbook." type="5" refreshedVersion="8" background="1" saveData="1">
    <dbPr connection="Provider=Microsoft.Mashup.OleDb.1;Data Source=$Workbook$;Location=ClientTable;Extended Properties=&quot;&quot;" command="SELECT * FROM [ClientTable]"/>
  </connection>
  <connection id="2" xr16:uid="{A7B5E0FD-914D-4F17-9523-AC80CDAC5680}" keepAlive="1" name="Query - planTable" description="Connection to the 'planTable' query in the workbook." type="5" refreshedVersion="8" background="1" saveData="1">
    <dbPr connection="Provider=Microsoft.Mashup.OleDb.1;Data Source=$Workbook$;Location=planTable;Extended Properties=&quot;&quot;" command="SELECT * FROM [planTable]"/>
  </connection>
  <connection id="3" xr16:uid="{ABC1C09A-94AE-4E29-9A2C-438EF76C1EE4}" keepAlive="1" name="Query - saasDAProject" description="Connection to the 'saasDAProject' query in the workbook." type="5" refreshedVersion="8" background="1" saveData="1">
    <dbPr connection="Provider=Microsoft.Mashup.OleDb.1;Data Source=$Workbook$;Location=saasDAProject;Extended Properties=&quot;&quot;" command="SELECT * FROM [saasDAProject]"/>
  </connection>
  <connection id="4" xr16:uid="{94136C3E-243F-4B6B-9BCD-74D1243DEF6F}" keepAlive="1" name="Query - subscriptionTable" description="Connection to the 'subscriptionTable' query in the workbook." type="5" refreshedVersion="8" background="1" saveData="1">
    <dbPr connection="Provider=Microsoft.Mashup.OleDb.1;Data Source=$Workbook$;Location=subscriptionTable;Extended Properties=&quot;&quot;" command="SELECT * FROM [subscriptionTable]"/>
  </connection>
  <connection id="5" xr16:uid="{E7B8FEAC-303B-4534-81DE-B5E2C81316F3}" keepAlive="1" name="Query - support_tickets" description="Connection to the 'support_tickets' query in the workbook." type="5" refreshedVersion="8" background="1" saveData="1">
    <dbPr connection="Provider=Microsoft.Mashup.OleDb.1;Data Source=$Workbook$;Location=support_tickets;Extended Properties=&quot;&quot;" command="SELECT * FROM [support_tickets]"/>
  </connection>
  <connection id="6" xr16:uid="{78D8B788-B3D0-42CE-90C9-4FD50BF0ED1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E9914F5F-3107-40AA-9D02-3935B0767492}" name="WorksheetConnection_MYPROJECT.xlsx!ClientTable" type="102" refreshedVersion="8" minRefreshableVersion="5">
    <extLst>
      <ext xmlns:x15="http://schemas.microsoft.com/office/spreadsheetml/2010/11/main" uri="{DE250136-89BD-433C-8126-D09CA5730AF9}">
        <x15:connection id="ClientTable">
          <x15:rangePr sourceName="_xlcn.WorksheetConnection_MYPROJECT.xlsxClientTable1"/>
        </x15:connection>
      </ext>
    </extLst>
  </connection>
  <connection id="8" xr16:uid="{DB727DC8-C245-47C7-8446-46F613E54475}" name="WorksheetConnection_MYPROJECT.xlsx!planTable" type="102" refreshedVersion="8" minRefreshableVersion="5">
    <extLst>
      <ext xmlns:x15="http://schemas.microsoft.com/office/spreadsheetml/2010/11/main" uri="{DE250136-89BD-433C-8126-D09CA5730AF9}">
        <x15:connection id="planTable">
          <x15:rangePr sourceName="_xlcn.WorksheetConnection_MYPROJECT.xlsxplanTable1"/>
        </x15:connection>
      </ext>
    </extLst>
  </connection>
  <connection id="9" xr16:uid="{022363C7-22A5-40E7-B5A6-3942FE58D039}" name="WorksheetConnection_MYPROJECT.xlsx!saasDAProject" type="102" refreshedVersion="8" minRefreshableVersion="5">
    <extLst>
      <ext xmlns:x15="http://schemas.microsoft.com/office/spreadsheetml/2010/11/main" uri="{DE250136-89BD-433C-8126-D09CA5730AF9}">
        <x15:connection id="saasDAProject">
          <x15:rangePr sourceName="_xlcn.WorksheetConnection_MYPROJECT.xlsxsaasDAProject1"/>
        </x15:connection>
      </ext>
    </extLst>
  </connection>
  <connection id="10" xr16:uid="{30D4994A-AB3A-4276-BFAD-1DBD0CE0878B}" name="WorksheetConnection_MYPROJECT.xlsx!subscriptionTable" type="102" refreshedVersion="8" minRefreshableVersion="5">
    <extLst>
      <ext xmlns:x15="http://schemas.microsoft.com/office/spreadsheetml/2010/11/main" uri="{DE250136-89BD-433C-8126-D09CA5730AF9}">
        <x15:connection id="subscriptionTable">
          <x15:rangePr sourceName="_xlcn.WorksheetConnection_MYPROJECT.xlsxsubscriptionTable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subscriptionTable].[status].&amp;[Cancelled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<sst xmlns="http://schemas.openxmlformats.org/spreadsheetml/2006/main" count="172" uniqueCount="69">
  <si>
    <t>plan_name</t>
  </si>
  <si>
    <t>tier</t>
  </si>
  <si>
    <t>total_subscriptions</t>
  </si>
  <si>
    <t>potential_monthly_revenue</t>
  </si>
  <si>
    <t>avg_support_tickets</t>
  </si>
  <si>
    <t>total_cancelled_accounts</t>
  </si>
  <si>
    <t>Enterprise Ultimate</t>
  </si>
  <si>
    <t>Enterprise</t>
  </si>
  <si>
    <t>Business Scale Suite</t>
  </si>
  <si>
    <t>Professional</t>
  </si>
  <si>
    <t>Cloud Starter Kit</t>
  </si>
  <si>
    <t>Basic</t>
  </si>
  <si>
    <t>TOTAL SUBSCRIPTIONS</t>
  </si>
  <si>
    <t>ID</t>
  </si>
  <si>
    <t>Company_Name</t>
  </si>
  <si>
    <t>Industry</t>
  </si>
  <si>
    <t>Country</t>
  </si>
  <si>
    <t>Alpha Financials</t>
  </si>
  <si>
    <t>Finance</t>
  </si>
  <si>
    <t>India</t>
  </si>
  <si>
    <t>Beta Health Corp</t>
  </si>
  <si>
    <t>Healthcare</t>
  </si>
  <si>
    <t>USA</t>
  </si>
  <si>
    <t>Gamma Cart</t>
  </si>
  <si>
    <t>E-Commerce</t>
  </si>
  <si>
    <t>UK</t>
  </si>
  <si>
    <t>Delta Logistics</t>
  </si>
  <si>
    <t>Logistics</t>
  </si>
  <si>
    <t>Omega Edu</t>
  </si>
  <si>
    <t>EdTech</t>
  </si>
  <si>
    <t>Vertex Capital</t>
  </si>
  <si>
    <t>Apex Medical</t>
  </si>
  <si>
    <t>Zeta Shop</t>
  </si>
  <si>
    <t>Speedy Cargo</t>
  </si>
  <si>
    <t>Sigma Learn</t>
  </si>
  <si>
    <t>Plan_id</t>
  </si>
  <si>
    <t>Plan_Name</t>
  </si>
  <si>
    <t>Tier</t>
  </si>
  <si>
    <t>Monthly_Rate</t>
  </si>
  <si>
    <t>Subscription_id</t>
  </si>
  <si>
    <t>Client_id</t>
  </si>
  <si>
    <t>Start_date</t>
  </si>
  <si>
    <t>status</t>
  </si>
  <si>
    <t>Support_tickets_raised</t>
  </si>
  <si>
    <t>Active</t>
  </si>
  <si>
    <t>Cancelled</t>
  </si>
  <si>
    <t>Upgraded</t>
  </si>
  <si>
    <t>Grand Total</t>
  </si>
  <si>
    <t>Sum of Support_tickets_raised</t>
  </si>
  <si>
    <t xml:space="preserve"> </t>
  </si>
  <si>
    <t>Count of status</t>
  </si>
  <si>
    <t>Jan</t>
  </si>
  <si>
    <t>Feb</t>
  </si>
  <si>
    <t>Mar</t>
  </si>
  <si>
    <t>Apr</t>
  </si>
  <si>
    <t>May</t>
  </si>
  <si>
    <t>Average of Support_tickets_raised</t>
  </si>
  <si>
    <t>Count of Subscription_id</t>
  </si>
  <si>
    <t>Status</t>
  </si>
  <si>
    <t>Months</t>
  </si>
  <si>
    <t>avg_tickets_cancelled_clients</t>
  </si>
  <si>
    <t>avg_tickets_active_clients</t>
  </si>
  <si>
    <t>TOTAL ACTIVE &amp; UPGRADED CLIENTS</t>
  </si>
  <si>
    <r>
      <t xml:space="preserve">      </t>
    </r>
    <r>
      <rPr>
        <b/>
        <i/>
        <sz val="26"/>
        <color theme="1" tint="0.34998626667073579"/>
        <rFont val="Calibri"/>
        <family val="2"/>
      </rPr>
      <t xml:space="preserve">  TOTAL REVENUE</t>
    </r>
  </si>
  <si>
    <t>Client ID</t>
  </si>
  <si>
    <t>Plan ID</t>
  </si>
  <si>
    <t>Start Date</t>
  </si>
  <si>
    <t>Support Tickets Raised</t>
  </si>
  <si>
    <t xml:space="preserve"> Enter Subscription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</si>
</sst>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dd\-mm\-yyyy"/>
    <numFmt numFmtId="167" formatCode="_([$$-409]* #,##0.00_);_([$$-409]* \(#,##0.00\);_([$$-409]* &quot;-&quot;??_);_(@_)"/>
    <numFmt numFmtId="168" formatCode="[$-409]d\-mmm\-yy;@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24"/>
      <color theme="1"/>
      <name val="Calibri"/>
      <family val="2"/>
    </font>
    <font>
      <sz val="20"/>
      <color theme="1" tint="0.34998626667073579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2" tint="-0.499984740745262"/>
      <name val="Aptos Narrow"/>
      <family val="2"/>
      <scheme val="minor"/>
    </font>
    <font>
      <sz val="26"/>
      <color theme="1" tint="0.34998626667073579"/>
      <name val="Calibri"/>
      <family val="2"/>
    </font>
    <font>
      <b/>
      <i/>
      <sz val="26"/>
      <color theme="1" tint="0.34998626667073579"/>
      <name val="Calibri"/>
      <family val="2"/>
    </font>
    <font>
      <b/>
      <sz val="26"/>
      <color theme="1" tint="0.3499862666707357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7">
    <xf numFmtId="0" fontId="0" fillId="0" borderId="0" xfId="0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center" vertical="center"/>
    </xf>
    <xf numFmtId="1" fontId="2" fillId="0" borderId="0" xfId="0" applyNumberFormat="1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3" fillId="4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vertical="center"/>
    </xf>
    <xf numFmtId="0" fontId="4" fillId="4" borderId="0" xfId="0" applyFont="1" applyFill="1" applyAlignment="1">
      <alignment vertic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/>
    <xf numFmtId="0" fontId="8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49" fontId="2" fillId="0" borderId="0" xfId="0" applyNumberFormat="1" applyFont="1" applyAlignment="1">
      <alignment horizontal="left"/>
    </xf>
    <xf numFmtId="49" fontId="0" fillId="0" borderId="0" xfId="0" applyNumberFormat="1"/>
    <xf numFmtId="0" fontId="7" fillId="0" borderId="0" xfId="0" applyFont="1" applyAlignment="1">
      <alignment horizontal="center"/>
    </xf>
    <xf numFmtId="1" fontId="6" fillId="5" borderId="4" xfId="0" applyNumberFormat="1" applyFont="1" applyFill="1" applyBorder="1" applyAlignment="1">
      <alignment horizontal="left" vertical="center"/>
    </xf>
    <xf numFmtId="1" fontId="6" fillId="5" borderId="5" xfId="0" applyNumberFormat="1" applyFont="1" applyFill="1" applyBorder="1" applyAlignment="1">
      <alignment horizontal="left" vertical="center"/>
    </xf>
    <xf numFmtId="49" fontId="6" fillId="5" borderId="5" xfId="0" applyNumberFormat="1" applyFont="1" applyFill="1" applyBorder="1" applyAlignment="1">
      <alignment horizontal="left" vertical="center"/>
    </xf>
    <xf numFmtId="1" fontId="6" fillId="5" borderId="6" xfId="0" applyNumberFormat="1" applyFont="1" applyFill="1" applyBorder="1" applyAlignment="1">
      <alignment horizontal="left" vertical="center"/>
    </xf>
    <xf numFmtId="49" fontId="2" fillId="0" borderId="0" xfId="0" applyNumberFormat="1" applyFont="1"/>
    <xf numFmtId="167" fontId="0" fillId="0" borderId="0" xfId="1" applyNumberFormat="1" applyFont="1"/>
    <xf numFmtId="167" fontId="2" fillId="0" borderId="0" xfId="1" applyNumberFormat="1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168" fontId="6" fillId="5" borderId="5" xfId="0" applyNumberFormat="1" applyFont="1" applyFill="1" applyBorder="1" applyAlignment="1">
      <alignment horizontal="left" vertical="center"/>
    </xf>
    <xf numFmtId="168" fontId="0" fillId="0" borderId="0" xfId="0" applyNumberForma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167" fontId="0" fillId="0" borderId="0" xfId="0" applyNumberFormat="1"/>
    <xf numFmtId="167" fontId="2" fillId="0" borderId="0" xfId="0" applyNumberFormat="1" applyFont="1"/>
    <xf numFmtId="167" fontId="2" fillId="0" borderId="0" xfId="1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34"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7" formatCode="_([$$-409]* #,##0.00_);_([$$-409]* \(#,##0.00\);_([$$-409]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numFmt numFmtId="167" formatCode="_([$$-409]* #,##0.00_);_([$$-409]* \(#,##0.00\);_([$$-409]* &quot;-&quot;??_);_(@_)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general" vertical="bottom" textRotation="0" wrapText="0" indent="0" justifyLastLine="0" shrinkToFit="0" readingOrder="0"/>
    </dxf>
    <dxf>
      <fill>
        <patternFill>
          <bgColor theme="5" tint="0.59996337778862885"/>
        </patternFill>
      </fill>
    </dxf>
    <dxf>
      <numFmt numFmtId="2" formatCode="0.00"/>
    </dxf>
    <dxf>
      <numFmt numFmtId="2" formatCode="0.0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5" formatCode="dd\-mm\-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30" formatCode="@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_([$$-409]* #,##0.00_);_([$$-409]* \(#,##0.00\);_([$$-409]* &quot;-&quot;??_);_(@_)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DataBackend!$C$1</c:f>
              <c:strCache>
                <c:ptCount val="1"/>
                <c:pt idx="0">
                  <c:v>total_subscriptions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274-459B-B2A3-52CD6DB784C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274-459B-B2A3-52CD6DB784C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274-459B-B2A3-52CD6DB784C8}"/>
              </c:ext>
            </c:extLst>
          </c:dPt>
          <c:dLbls>
            <c:dLbl>
              <c:idx val="0"/>
              <c:layout>
                <c:manualLayout>
                  <c:x val="-0.21298540736642343"/>
                  <c:y val="-0.1603052270210593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74-459B-B2A3-52CD6DB784C8}"/>
                </c:ext>
              </c:extLst>
            </c:dLbl>
            <c:dLbl>
              <c:idx val="1"/>
              <c:layout>
                <c:manualLayout>
                  <c:x val="0.27811569537634606"/>
                  <c:y val="-0.166979501611620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74-459B-B2A3-52CD6DB784C8}"/>
                </c:ext>
              </c:extLst>
            </c:dLbl>
            <c:dLbl>
              <c:idx val="2"/>
              <c:layout>
                <c:manualLayout>
                  <c:x val="-3.5958237799708054E-2"/>
                  <c:y val="0.17824744439391296"/>
                </c:manualLayout>
              </c:layout>
              <c:spPr>
                <a:solidFill>
                  <a:schemeClr val="bg1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737667429825768"/>
                      <c:h val="0.1066066539108055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274-459B-B2A3-52CD6DB784C8}"/>
                </c:ext>
              </c:extLst>
            </c:dLbl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DataBackend!$A$2:$B$4</c:f>
              <c:multiLvlStrCache>
                <c:ptCount val="3"/>
                <c:lvl>
                  <c:pt idx="0">
                    <c:v>Enterprise</c:v>
                  </c:pt>
                  <c:pt idx="1">
                    <c:v>Professional</c:v>
                  </c:pt>
                  <c:pt idx="2">
                    <c:v>Basic</c:v>
                  </c:pt>
                </c:lvl>
                <c:lvl>
                  <c:pt idx="0">
                    <c:v>Enterprise Ultimate</c:v>
                  </c:pt>
                  <c:pt idx="1">
                    <c:v>Business Scale Suite</c:v>
                  </c:pt>
                  <c:pt idx="2">
                    <c:v>Cloud Starter Kit</c:v>
                  </c:pt>
                </c:lvl>
              </c:multiLvlStrCache>
            </c:multiLvlStrRef>
          </c:cat>
          <c:val>
            <c:numRef>
              <c:f>DataBackend!$C$2:$C$4</c:f>
              <c:numCache>
                <c:formatCode>0</c:formatCode>
                <c:ptCount val="3"/>
                <c:pt idx="0">
                  <c:v>16</c:v>
                </c:pt>
                <c:pt idx="1">
                  <c:v>18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74-459B-B2A3-52CD6DB784C8}"/>
            </c:ext>
          </c:extLst>
        </c:ser>
        <c:ser>
          <c:idx val="1"/>
          <c:order val="1"/>
          <c:tx>
            <c:strRef>
              <c:f>DataBackend!$D$1</c:f>
              <c:strCache>
                <c:ptCount val="1"/>
                <c:pt idx="0">
                  <c:v> potential_monthly_revenue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3274-459B-B2A3-52CD6DB784C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3274-459B-B2A3-52CD6DB784C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3274-459B-B2A3-52CD6DB784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DataBackend!$A$2:$B$4</c:f>
              <c:multiLvlStrCache>
                <c:ptCount val="3"/>
                <c:lvl>
                  <c:pt idx="0">
                    <c:v>Enterprise</c:v>
                  </c:pt>
                  <c:pt idx="1">
                    <c:v>Professional</c:v>
                  </c:pt>
                  <c:pt idx="2">
                    <c:v>Basic</c:v>
                  </c:pt>
                </c:lvl>
                <c:lvl>
                  <c:pt idx="0">
                    <c:v>Enterprise Ultimate</c:v>
                  </c:pt>
                  <c:pt idx="1">
                    <c:v>Business Scale Suite</c:v>
                  </c:pt>
                  <c:pt idx="2">
                    <c:v>Cloud Starter Kit</c:v>
                  </c:pt>
                </c:lvl>
              </c:multiLvlStrCache>
            </c:multiLvlStrRef>
          </c:cat>
          <c:val>
            <c:numRef>
              <c:f>DataBackend!$D$2:$D$4</c:f>
              <c:numCache>
                <c:formatCode>_([$$-409]* #,##0.00_);_([$$-409]* \(#,##0.00\);_([$$-409]* "-"??_);_(@_)</c:formatCode>
                <c:ptCount val="3"/>
                <c:pt idx="0">
                  <c:v>15984</c:v>
                </c:pt>
                <c:pt idx="1">
                  <c:v>3582</c:v>
                </c:pt>
                <c:pt idx="2">
                  <c:v>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274-459B-B2A3-52CD6DB784C8}"/>
            </c:ext>
          </c:extLst>
        </c:ser>
        <c:ser>
          <c:idx val="2"/>
          <c:order val="2"/>
          <c:tx>
            <c:strRef>
              <c:f>DataBackend!$E$1</c:f>
              <c:strCache>
                <c:ptCount val="1"/>
                <c:pt idx="0">
                  <c:v>avg_support_tickets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3274-459B-B2A3-52CD6DB784C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3274-459B-B2A3-52CD6DB784C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3274-459B-B2A3-52CD6DB784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DataBackend!$A$2:$B$4</c:f>
              <c:multiLvlStrCache>
                <c:ptCount val="3"/>
                <c:lvl>
                  <c:pt idx="0">
                    <c:v>Enterprise</c:v>
                  </c:pt>
                  <c:pt idx="1">
                    <c:v>Professional</c:v>
                  </c:pt>
                  <c:pt idx="2">
                    <c:v>Basic</c:v>
                  </c:pt>
                </c:lvl>
                <c:lvl>
                  <c:pt idx="0">
                    <c:v>Enterprise Ultimate</c:v>
                  </c:pt>
                  <c:pt idx="1">
                    <c:v>Business Scale Suite</c:v>
                  </c:pt>
                  <c:pt idx="2">
                    <c:v>Cloud Starter Kit</c:v>
                  </c:pt>
                </c:lvl>
              </c:multiLvlStrCache>
            </c:multiLvlStrRef>
          </c:cat>
          <c:val>
            <c:numRef>
              <c:f>DataBackend!$E$2:$E$4</c:f>
              <c:numCache>
                <c:formatCode>0.00</c:formatCode>
                <c:ptCount val="3"/>
                <c:pt idx="0">
                  <c:v>2.8125</c:v>
                </c:pt>
                <c:pt idx="1">
                  <c:v>4.1111000000000004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274-459B-B2A3-52CD6DB784C8}"/>
            </c:ext>
          </c:extLst>
        </c:ser>
        <c:ser>
          <c:idx val="3"/>
          <c:order val="3"/>
          <c:tx>
            <c:strRef>
              <c:f>DataBackend!$F$1</c:f>
              <c:strCache>
                <c:ptCount val="1"/>
                <c:pt idx="0">
                  <c:v>total_cancelled_accounts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3274-459B-B2A3-52CD6DB784C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3274-459B-B2A3-52CD6DB784C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A-3274-459B-B2A3-52CD6DB784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DataBackend!$A$2:$B$4</c:f>
              <c:multiLvlStrCache>
                <c:ptCount val="3"/>
                <c:lvl>
                  <c:pt idx="0">
                    <c:v>Enterprise</c:v>
                  </c:pt>
                  <c:pt idx="1">
                    <c:v>Professional</c:v>
                  </c:pt>
                  <c:pt idx="2">
                    <c:v>Basic</c:v>
                  </c:pt>
                </c:lvl>
                <c:lvl>
                  <c:pt idx="0">
                    <c:v>Enterprise Ultimate</c:v>
                  </c:pt>
                  <c:pt idx="1">
                    <c:v>Business Scale Suite</c:v>
                  </c:pt>
                  <c:pt idx="2">
                    <c:v>Cloud Starter Kit</c:v>
                  </c:pt>
                </c:lvl>
              </c:multiLvlStrCache>
            </c:multiLvlStrRef>
          </c:cat>
          <c:val>
            <c:numRef>
              <c:f>DataBackend!$F$2:$F$4</c:f>
              <c:numCache>
                <c:formatCode>0</c:formatCode>
                <c:ptCount val="3"/>
                <c:pt idx="0">
                  <c:v>3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274-459B-B2A3-52CD6DB784C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[MYPROJECT.xlsx]Pivot Calculations!PivotTable20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100" baseline="0">
                <a:solidFill>
                  <a:schemeClr val="dk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SUBSCRIPTION STATUS</a:t>
            </a:r>
          </a:p>
        </c:rich>
      </c:tx>
      <c:layout>
        <c:manualLayout>
          <c:xMode val="edge"/>
          <c:yMode val="edge"/>
          <c:x val="0.2534096675415573"/>
          <c:y val="2.2876205982566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0.3231538978247292"/>
              <c:y val="-0.188754539287282"/>
            </c:manualLayout>
          </c:layout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347290330626236"/>
                  <c:h val="8.1236819118576067E-2"/>
                </c:manualLayout>
              </c15:layout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.12945922317012823"/>
              <c:y val="5.7944187390273572E-2"/>
            </c:manualLayout>
          </c:layout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21719612281409"/>
                  <c:h val="8.1236819118576067E-2"/>
                </c:manualLayout>
              </c15:layout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7.3331227529301435E-2"/>
              <c:y val="6.3311870535244424E-2"/>
            </c:manualLayout>
          </c:layout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590809621635734"/>
                  <c:h val="8.1236819118576067E-2"/>
                </c:manualLayout>
              </c15:layout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Calculations'!$F$1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316-4C49-82C2-C82FBAC50E9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316-4C49-82C2-C82FBAC50E9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316-4C49-82C2-C82FBAC50E94}"/>
              </c:ext>
            </c:extLst>
          </c:dPt>
          <c:dLbls>
            <c:dLbl>
              <c:idx val="0"/>
              <c:layout>
                <c:manualLayout>
                  <c:x val="-0.3231538978247292"/>
                  <c:y val="-0.1887545392872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347290330626236"/>
                      <c:h val="8.12368191185760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316-4C49-82C2-C82FBAC50E94}"/>
                </c:ext>
              </c:extLst>
            </c:dLbl>
            <c:dLbl>
              <c:idx val="1"/>
              <c:layout>
                <c:manualLayout>
                  <c:x val="0.12945922317012823"/>
                  <c:y val="5.794418739027357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1719612281409"/>
                      <c:h val="8.12368191185760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316-4C49-82C2-C82FBAC50E94}"/>
                </c:ext>
              </c:extLst>
            </c:dLbl>
            <c:dLbl>
              <c:idx val="2"/>
              <c:layout>
                <c:manualLayout>
                  <c:x val="7.3331227529301435E-2"/>
                  <c:y val="6.331187053524442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90809621635734"/>
                      <c:h val="8.12368191185760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316-4C49-82C2-C82FBAC50E94}"/>
                </c:ext>
              </c:extLst>
            </c:dLbl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Calculations'!$E$2:$E$5</c:f>
              <c:strCache>
                <c:ptCount val="3"/>
                <c:pt idx="0">
                  <c:v>Active</c:v>
                </c:pt>
                <c:pt idx="1">
                  <c:v>Cancelled</c:v>
                </c:pt>
                <c:pt idx="2">
                  <c:v>Upgraded</c:v>
                </c:pt>
              </c:strCache>
            </c:strRef>
          </c:cat>
          <c:val>
            <c:numRef>
              <c:f>'Pivot Calculations'!$F$2:$F$5</c:f>
              <c:numCache>
                <c:formatCode>General</c:formatCode>
                <c:ptCount val="3"/>
                <c:pt idx="0">
                  <c:v>31</c:v>
                </c:pt>
                <c:pt idx="1">
                  <c:v>14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16-4C49-82C2-C82FBAC50E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692311898512687"/>
          <c:y val="5.0533299891384512E-2"/>
          <c:w val="0.19465769903762029"/>
          <c:h val="0.31095884514748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 sz="10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[MYPROJECT.xlsx]Pivot Calculations!PivotTable21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696345468114316E-2"/>
          <c:y val="0.10778484429201123"/>
          <c:w val="0.59988617617374307"/>
          <c:h val="0.717977966504052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Calculations'!$F$9</c:f>
              <c:strCache>
                <c:ptCount val="1"/>
                <c:pt idx="0">
                  <c:v>Count of Subscription_id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Calculations'!$E$10:$E$15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'Pivot Calculations'!$F$10:$F$15</c:f>
              <c:numCache>
                <c:formatCode>0.00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D-4E85-A9DA-13E2536A95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0501960"/>
        <c:axId val="880502320"/>
      </c:barChart>
      <c:lineChart>
        <c:grouping val="standard"/>
        <c:varyColors val="0"/>
        <c:ser>
          <c:idx val="1"/>
          <c:order val="1"/>
          <c:tx>
            <c:strRef>
              <c:f>'Pivot Calculations'!$G$9</c:f>
              <c:strCache>
                <c:ptCount val="1"/>
                <c:pt idx="0">
                  <c:v>Average of Support_tickets_raised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Calculations'!$E$10:$E$15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'Pivot Calculations'!$G$10:$G$15</c:f>
              <c:numCache>
                <c:formatCode>0.00</c:formatCode>
                <c:ptCount val="5"/>
                <c:pt idx="0">
                  <c:v>3.875</c:v>
                </c:pt>
                <c:pt idx="1">
                  <c:v>3.25</c:v>
                </c:pt>
                <c:pt idx="2">
                  <c:v>3.0833333333333335</c:v>
                </c:pt>
                <c:pt idx="3">
                  <c:v>3.75</c:v>
                </c:pt>
                <c:pt idx="4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3D-4E85-A9DA-13E2536A95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80501960"/>
        <c:axId val="880502320"/>
      </c:lineChart>
      <c:catAx>
        <c:axId val="880501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880502320"/>
        <c:crosses val="autoZero"/>
        <c:auto val="1"/>
        <c:lblAlgn val="ctr"/>
        <c:lblOffset val="100"/>
        <c:noMultiLvlLbl val="0"/>
      </c:catAx>
      <c:valAx>
        <c:axId val="88050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501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Friction Analysis: Avg Support Tickets by Account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3"/>
          <c:order val="3"/>
          <c:tx>
            <c:strRef>
              <c:f>DataBackend!$O$1</c:f>
              <c:strCache>
                <c:ptCount val="1"/>
                <c:pt idx="0">
                  <c:v>avg_tickets_cancelled_clients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DataBackend!$J$2:$K$4</c:f>
              <c:multiLvlStrCache>
                <c:ptCount val="3"/>
                <c:lvl>
                  <c:pt idx="0">
                    <c:v>Enterprise</c:v>
                  </c:pt>
                  <c:pt idx="1">
                    <c:v>Professional</c:v>
                  </c:pt>
                  <c:pt idx="2">
                    <c:v>Basic</c:v>
                  </c:pt>
                </c:lvl>
                <c:lvl>
                  <c:pt idx="0">
                    <c:v>Enterprise Ultimate</c:v>
                  </c:pt>
                  <c:pt idx="1">
                    <c:v>Business Scale Suite</c:v>
                  </c:pt>
                  <c:pt idx="2">
                    <c:v>Cloud Starter Kit</c:v>
                  </c:pt>
                </c:lvl>
              </c:multiLvlStrCache>
            </c:multiLvlStrRef>
          </c:cat>
          <c:val>
            <c:numRef>
              <c:f>DataBackend!$O$2:$O$4</c:f>
              <c:numCache>
                <c:formatCode>General</c:formatCode>
                <c:ptCount val="3"/>
                <c:pt idx="0">
                  <c:v>7.3333000000000004</c:v>
                </c:pt>
                <c:pt idx="1">
                  <c:v>8.3332999999999995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F-4438-B392-5B7445164BBE}"/>
            </c:ext>
          </c:extLst>
        </c:ser>
        <c:ser>
          <c:idx val="4"/>
          <c:order val="4"/>
          <c:tx>
            <c:strRef>
              <c:f>DataBackend!$P$1</c:f>
              <c:strCache>
                <c:ptCount val="1"/>
                <c:pt idx="0">
                  <c:v>avg_tickets_active_clients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DataBackend!$J$2:$K$4</c:f>
              <c:multiLvlStrCache>
                <c:ptCount val="3"/>
                <c:lvl>
                  <c:pt idx="0">
                    <c:v>Enterprise</c:v>
                  </c:pt>
                  <c:pt idx="1">
                    <c:v>Professional</c:v>
                  </c:pt>
                  <c:pt idx="2">
                    <c:v>Basic</c:v>
                  </c:pt>
                </c:lvl>
                <c:lvl>
                  <c:pt idx="0">
                    <c:v>Enterprise Ultimate</c:v>
                  </c:pt>
                  <c:pt idx="1">
                    <c:v>Business Scale Suite</c:v>
                  </c:pt>
                  <c:pt idx="2">
                    <c:v>Cloud Starter Kit</c:v>
                  </c:pt>
                </c:lvl>
              </c:multiLvlStrCache>
            </c:multiLvlStrRef>
          </c:cat>
          <c:val>
            <c:numRef>
              <c:f>DataBackend!$P$2:$P$4</c:f>
              <c:numCache>
                <c:formatCode>General</c:formatCode>
                <c:ptCount val="3"/>
                <c:pt idx="0">
                  <c:v>1.5</c:v>
                </c:pt>
                <c:pt idx="1">
                  <c:v>2</c:v>
                </c:pt>
                <c:pt idx="2">
                  <c:v>0.72729999999999995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8F-4438-B392-5B7445164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092371520"/>
        <c:axId val="10923661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DataBackend!$L$1</c15:sqref>
                        </c15:formulaRef>
                      </c:ext>
                    </c:extLst>
                    <c:strCache>
                      <c:ptCount val="1"/>
                      <c:pt idx="0">
                        <c:v>total_subscriptions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1"/>
                    </a:solidFill>
                    <a:miter lim="800000"/>
                  </a:ln>
                  <a:effectLst>
                    <a:glow rad="63500">
                      <a:schemeClr val="accent1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DataBackend!$J$2:$K$4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Enterprise</c:v>
                        </c:pt>
                        <c:pt idx="1">
                          <c:v>Professional</c:v>
                        </c:pt>
                        <c:pt idx="2">
                          <c:v>Basic</c:v>
                        </c:pt>
                      </c:lvl>
                      <c:lvl>
                        <c:pt idx="0">
                          <c:v>Enterprise Ultimate</c:v>
                        </c:pt>
                        <c:pt idx="1">
                          <c:v>Business Scale Suite</c:v>
                        </c:pt>
                        <c:pt idx="2">
                          <c:v>Cloud Starter Kit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DataBackend!$L$2:$L$4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A8F-4438-B392-5B7445164BB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DataBackend!$M$1</c15:sqref>
                        </c15:formulaRef>
                      </c:ext>
                    </c:extLst>
                    <c:strCache>
                      <c:ptCount val="1"/>
                      <c:pt idx="0">
                        <c:v> potential_monthly_revenue 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DataBackend!$J$2:$K$4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Enterprise</c:v>
                        </c:pt>
                        <c:pt idx="1">
                          <c:v>Professional</c:v>
                        </c:pt>
                        <c:pt idx="2">
                          <c:v>Basic</c:v>
                        </c:pt>
                      </c:lvl>
                      <c:lvl>
                        <c:pt idx="0">
                          <c:v>Enterprise Ultimate</c:v>
                        </c:pt>
                        <c:pt idx="1">
                          <c:v>Business Scale Suite</c:v>
                        </c:pt>
                        <c:pt idx="2">
                          <c:v>Cloud Starter Kit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DataBackend!$M$2:$M$4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"/>
                      <c:pt idx="0">
                        <c:v>15984</c:v>
                      </c:pt>
                      <c:pt idx="1">
                        <c:v>3582</c:v>
                      </c:pt>
                      <c:pt idx="2">
                        <c:v>784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A8F-4438-B392-5B7445164BB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DataBackend!$N$1</c15:sqref>
                        </c15:formulaRef>
                      </c:ext>
                    </c:extLst>
                    <c:strCache>
                      <c:ptCount val="1"/>
                      <c:pt idx="0">
                        <c:v>total_cancelled_accounts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3"/>
                    </a:solidFill>
                    <a:miter lim="800000"/>
                  </a:ln>
                  <a:effectLst>
                    <a:glow rad="63500">
                      <a:schemeClr val="accent3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DataBackend!$J$2:$K$4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Enterprise</c:v>
                        </c:pt>
                        <c:pt idx="1">
                          <c:v>Professional</c:v>
                        </c:pt>
                        <c:pt idx="2">
                          <c:v>Basic</c:v>
                        </c:pt>
                      </c:lvl>
                      <c:lvl>
                        <c:pt idx="0">
                          <c:v>Enterprise Ultimate</c:v>
                        </c:pt>
                        <c:pt idx="1">
                          <c:v>Business Scale Suite</c:v>
                        </c:pt>
                        <c:pt idx="2">
                          <c:v>Cloud Starter Kit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DataBackend!$N$2:$N$4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6</c:v>
                      </c:pt>
                      <c:pt idx="2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A8F-4438-B392-5B7445164BBE}"/>
                  </c:ext>
                </c:extLst>
              </c15:ser>
            </c15:filteredBarSeries>
          </c:ext>
        </c:extLst>
      </c:barChart>
      <c:catAx>
        <c:axId val="1092371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366120"/>
        <c:crosses val="autoZero"/>
        <c:auto val="1"/>
        <c:lblAlgn val="ctr"/>
        <c:lblOffset val="100"/>
        <c:noMultiLvlLbl val="0"/>
      </c:catAx>
      <c:valAx>
        <c:axId val="10923661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37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303695</xdr:colOff>
      <xdr:row>5</xdr:row>
      <xdr:rowOff>110434</xdr:rowOff>
    </xdr:from>
    <xdr:to>
      <xdr:col>4</xdr:col>
      <xdr:colOff>766142</xdr:colOff>
      <xdr:row>24</xdr:row>
      <xdr:rowOff>96629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9FEDB4-0D65-4DDA-9603-D2CAD9E82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2015435</xdr:colOff>
      <xdr:row>5</xdr:row>
      <xdr:rowOff>96630</xdr:rowOff>
    </xdr:from>
    <xdr:to>
      <xdr:col>6</xdr:col>
      <xdr:colOff>3457989</xdr:colOff>
      <xdr:row>24</xdr:row>
      <xdr:rowOff>82825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7FA6B4-D34F-435C-936D-6D78FABEC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1076740</xdr:colOff>
      <xdr:row>27</xdr:row>
      <xdr:rowOff>27609</xdr:rowOff>
    </xdr:from>
    <xdr:to>
      <xdr:col>8</xdr:col>
      <xdr:colOff>1842882</xdr:colOff>
      <xdr:row>57</xdr:row>
      <xdr:rowOff>165652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1CBDEF-4A40-4261-A45D-DACC7BB3E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179456</xdr:colOff>
      <xdr:row>27</xdr:row>
      <xdr:rowOff>27609</xdr:rowOff>
    </xdr:from>
    <xdr:to>
      <xdr:col>4</xdr:col>
      <xdr:colOff>41412</xdr:colOff>
      <xdr:row>51</xdr:row>
      <xdr:rowOff>20707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3C314-59BA-4EB3-8BE8-A5F226ED7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17.092421643516" backgroundQuery="1" createdVersion="8" refreshedVersion="8" minRefreshableVersion="3" recordCount="0" supportSubquery="1" supportAdvancedDrill="1" xr:uid="{4B63C37C-99A1-41A4-B9C3-E4F76BB5137E}">
  <cacheSource type="external" connectionId="6"/>
  <cacheFields count="4">
    <cacheField name="[ClientTable].[Industry].[Industry]" caption="Industry" numFmtId="0" hierarchy="2" level="1">
      <sharedItems count="5">
        <s v="E-Commerce"/>
        <s v="EdTech"/>
        <s v="Finance"/>
        <s v="Healthcare"/>
        <s v="Logistics"/>
      </sharedItems>
    </cacheField>
    <cacheField name="[planTable].[Plan_Name].[Plan_Name]" caption="Plan_Name" numFmtId="0" hierarchy="5" level="1">
      <sharedItems count="3">
        <s v="Cloud Starter Kit"/>
        <s v="Enterprise Ultimate"/>
        <s v="Business Scale Suite"/>
      </sharedItems>
    </cacheField>
    <cacheField name="[Measures].[Sum of Support_tickets_raised]" caption="Sum of Support_tickets_raised" numFmtId="0" hierarchy="29" level="32767"/>
    <cacheField name="[subscriptionTable].[status].[status]" caption="status" numFmtId="0" hierarchy="18" level="1">
      <sharedItems containsSemiMixedTypes="0" containsNonDate="0" containsString="0"/>
    </cacheField>
  </cacheFields>
  <cacheHierarchies count="30">
    <cacheHierarchy uniqueName="[ClientTable].[ID]" caption="ID" attribute="1" defaultMemberUniqueName="[ClientTable].[ID].[All]" allUniqueName="[ClientTable].[ID].[All]" dimensionUniqueName="[ClientTable]" displayFolder="" count="0" memberValueDatatype="20" unbalanced="0"/>
    <cacheHierarchy uniqueName="[ClientTable].[Company_Name]" caption="Company_Name" attribute="1" defaultMemberUniqueName="[ClientTable].[Company_Name].[All]" allUniqueName="[ClientTable].[Company_Name].[All]" dimensionUniqueName="[ClientTable]" displayFolder="" count="0" memberValueDatatype="130" unbalanced="0"/>
    <cacheHierarchy uniqueName="[ClientTable].[Industry]" caption="Industry" attribute="1" defaultMemberUniqueName="[ClientTable].[Industry].[All]" allUniqueName="[ClientTable].[Industry].[All]" dimensionUniqueName="[ClientTable]" displayFolder="" count="2" memberValueDatatype="130" unbalanced="0">
      <fieldsUsage count="2">
        <fieldUsage x="-1"/>
        <fieldUsage x="0"/>
      </fieldsUsage>
    </cacheHierarchy>
    <cacheHierarchy uniqueName="[ClientTable].[Country]" caption="Country" attribute="1" defaultMemberUniqueName="[ClientTable].[Country].[All]" allUniqueName="[ClientTable].[Country].[All]" dimensionUniqueName="[ClientTable]" displayFolder="" count="0" memberValueDatatype="130" unbalanced="0"/>
    <cacheHierarchy uniqueName="[planTable].[Plan_id]" caption="Plan_id" attribute="1" defaultMemberUniqueName="[planTable].[Plan_id].[All]" allUniqueName="[planTable].[Plan_id].[All]" dimensionUniqueName="[planTable]" displayFolder="" count="0" memberValueDatatype="20" unbalanced="0"/>
    <cacheHierarchy uniqueName="[planTable].[Plan_Name]" caption="Plan_Name" attribute="1" defaultMemberUniqueName="[planTable].[Plan_Name].[All]" allUniqueName="[planTable].[Plan_Name].[All]" dimensionUniqueName="[planTable]" displayFolder="" count="2" memberValueDatatype="130" unbalanced="0">
      <fieldsUsage count="2">
        <fieldUsage x="-1"/>
        <fieldUsage x="1"/>
      </fieldsUsage>
    </cacheHierarchy>
    <cacheHierarchy uniqueName="[planTable].[Tier]" caption="Tier" attribute="1" defaultMemberUniqueName="[planTable].[Tier].[All]" allUniqueName="[planTable].[Tier].[All]" dimensionUniqueName="[planTable]" displayFolder="" count="0" memberValueDatatype="130" unbalanced="0"/>
    <cacheHierarchy uniqueName="[planTable].[Monthly_Rate]" caption="Monthly_Rate" attribute="1" defaultMemberUniqueName="[planTable].[Monthly_Rate].[All]" allUniqueName="[planTable].[Monthly_Rate].[All]" dimensionUniqueName="[planTable]" displayFolder="" count="0" memberValueDatatype="20" unbalanced="0"/>
    <cacheHierarchy uniqueName="[saasDAProject].[plan_name]" caption="plan_name" attribute="1" defaultMemberUniqueName="[saasDAProject].[plan_name].[All]" allUniqueName="[saasDAProject].[plan_name].[All]" dimensionUniqueName="[saasDAProject]" displayFolder="" count="0" memberValueDatatype="130" unbalanced="0"/>
    <cacheHierarchy uniqueName="[saasDAProject].[tier]" caption="tier" attribute="1" defaultMemberUniqueName="[saasDAProject].[tier].[All]" allUniqueName="[saasDAProject].[tier].[All]" dimensionUniqueName="[saasDAProject]" displayFolder="" count="0" memberValueDatatype="130" unbalanced="0"/>
    <cacheHierarchy uniqueName="[saasDAProject].[total_subscriptions]" caption="total_subscriptions" attribute="1" defaultMemberUniqueName="[saasDAProject].[total_subscriptions].[All]" allUniqueName="[saasDAProject].[total_subscriptions].[All]" dimensionUniqueName="[saasDAProject]" displayFolder="" count="0" memberValueDatatype="20" unbalanced="0"/>
    <cacheHierarchy uniqueName="[saasDAProject].[potential_monthly_revenue]" caption="potential_monthly_revenue" attribute="1" defaultMemberUniqueName="[saasDAProject].[potential_monthly_revenue].[All]" allUniqueName="[saasDAProject].[potential_monthly_revenue].[All]" dimensionUniqueName="[saasDAProject]" displayFolder="" count="0" memberValueDatatype="20" unbalanced="0"/>
    <cacheHierarchy uniqueName="[saasDAProject].[avg_support_tickets]" caption="avg_support_tickets" attribute="1" defaultMemberUniqueName="[saasDAProject].[avg_support_tickets].[All]" allUniqueName="[saasDAProject].[avg_support_tickets].[All]" dimensionUniqueName="[saasDAProject]" displayFolder="" count="0" memberValueDatatype="5" unbalanced="0"/>
    <cacheHierarchy uniqueName="[saasDAProject].[total_cancelled_accounts]" caption="total_cancelled_accounts" attribute="1" defaultMemberUniqueName="[saasDAProject].[total_cancelled_accounts].[All]" allUniqueName="[saasDAProject].[total_cancelled_accounts].[All]" dimensionUniqueName="[saasDAProject]" displayFolder="" count="0" memberValueDatatype="20" unbalanced="0"/>
    <cacheHierarchy uniqueName="[subscriptionTable].[Subscription_id]" caption="Subscription_id" attribute="1" defaultMemberUniqueName="[subscriptionTable].[Subscription_id].[All]" allUniqueName="[subscriptionTable].[Subscription_id].[All]" dimensionUniqueName="[subscriptionTable]" displayFolder="" count="0" memberValueDatatype="20" unbalanced="0"/>
    <cacheHierarchy uniqueName="[subscriptionTable].[Client_id]" caption="Client_id" attribute="1" defaultMemberUniqueName="[subscriptionTable].[Client_id].[All]" allUniqueName="[subscriptionTable].[Client_id].[All]" dimensionUniqueName="[subscriptionTable]" displayFolder="" count="0" memberValueDatatype="20" unbalanced="0"/>
    <cacheHierarchy uniqueName="[subscriptionTable].[Plan_id]" caption="Plan_id" attribute="1" defaultMemberUniqueName="[subscriptionTable].[Plan_id].[All]" allUniqueName="[subscriptionTable].[Plan_id].[All]" dimensionUniqueName="[subscriptionTable]" displayFolder="" count="0" memberValueDatatype="20" unbalanced="0"/>
    <cacheHierarchy uniqueName="[subscriptionTable].[Start_date]" caption="Start_date" attribute="1" time="1" defaultMemberUniqueName="[subscriptionTable].[Start_date].[All]" allUniqueName="[subscriptionTable].[Start_date].[All]" dimensionUniqueName="[subscriptionTable]" displayFolder="" count="0" memberValueDatatype="7" unbalanced="0"/>
    <cacheHierarchy uniqueName="[subscriptionTable].[status]" caption="status" attribute="1" defaultMemberUniqueName="[subscriptionTable].[status].[All]" allUniqueName="[subscriptionTable].[status].[All]" dimensionUniqueName="[subscriptionTable]" displayFolder="" count="2" memberValueDatatype="130" unbalanced="0">
      <fieldsUsage count="2">
        <fieldUsage x="-1"/>
        <fieldUsage x="3"/>
      </fieldsUsage>
    </cacheHierarchy>
    <cacheHierarchy uniqueName="[subscriptionTable].[Support_tickets_raised]" caption="Support_tickets_raised" attribute="1" defaultMemberUniqueName="[subscriptionTable].[Support_tickets_raised].[All]" allUniqueName="[subscriptionTable].[Support_tickets_raised].[All]" dimensionUniqueName="[subscriptionTable]" displayFolder="" count="0" memberValueDatatype="20" unbalanced="0"/>
    <cacheHierarchy uniqueName="[Measures].[__XL_Count saasDAProject]" caption="__XL_Count saasDAProject" measure="1" displayFolder="" measureGroup="saasDAProject" count="0" hidden="1"/>
    <cacheHierarchy uniqueName="[Measures].[__XL_Count ClientTable]" caption="__XL_Count ClientTable" measure="1" displayFolder="" measureGroup="ClientTable" count="0" hidden="1"/>
    <cacheHierarchy uniqueName="[Measures].[__XL_Count subscriptionTable]" caption="__XL_Count subscriptionTable" measure="1" displayFolder="" measureGroup="subscriptionTable" count="0" hidden="1"/>
    <cacheHierarchy uniqueName="[Measures].[__XL_Count planTable]" caption="__XL_Count planTable" measure="1" displayFolder="" measureGroup="planTable" count="0" hidden="1"/>
    <cacheHierarchy uniqueName="[Measures].[__No measures defined]" caption="__No measures defined" measure="1" displayFolder="" count="0" hidden="1"/>
    <cacheHierarchy uniqueName="[Measures].[Sum of potential_monthly_revenue]" caption="Sum of potential_monthly_revenue" measure="1" displayFolder="" measureGroup="saasDAProjec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cancelled_accounts]" caption="Sum of total_cancelled_accounts" measure="1" displayFolder="" measureGroup="saasDAProjec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_subscriptions]" caption="Sum of total_subscriptions" measure="1" displayFolder="" measureGroup="saasDAProjec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support_tickets]" caption="Sum of avg_support_tickets" measure="1" displayFolder="" measureGroup="saasDAProjec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upport_tickets_raised]" caption="Sum of Support_tickets_raised" measure="1" displayFolder="" measureGroup="subscription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lientTable" uniqueName="[ClientTable]" caption="ClientTable"/>
    <dimension measure="1" name="Measures" uniqueName="[Measures]" caption="Measures"/>
    <dimension name="planTable" uniqueName="[planTable]" caption="planTable"/>
    <dimension name="saasDAProject" uniqueName="[saasDAProject]" caption="saasDAProject"/>
    <dimension name="subscriptionTable" uniqueName="[subscriptionTable]" caption="subscriptionTable"/>
  </dimensions>
  <measureGroups count="4">
    <measureGroup name="ClientTable" caption="ClientTable"/>
    <measureGroup name="planTable" caption="planTable"/>
    <measureGroup name="saasDAProject" caption="saasDAProject"/>
    <measureGroup name="subscriptionTable" caption="subscriptionTable"/>
  </measureGroups>
  <maps count="6">
    <map measureGroup="0" dimension="0"/>
    <map measureGroup="1" dimension="2"/>
    <map measureGroup="2" dimension="3"/>
    <map measureGroup="3" dimension="0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7.09242847222" createdVersion="8" refreshedVersion="8" minRefreshableVersion="3" recordCount="50" xr:uid="{2DBA06AA-0B83-47E3-8ED1-54210D720943}">
  <cacheSource type="worksheet">
    <worksheetSource name="subscriptionTable"/>
  </cacheSource>
  <cacheFields count="8">
    <cacheField name="Subscription_id" numFmtId="0">
      <sharedItems containsSemiMixedTypes="0" containsString="0" containsNumber="1" containsInteger="1" minValue="1" maxValue="50"/>
    </cacheField>
    <cacheField name="Client_id" numFmtId="1">
      <sharedItems containsSemiMixedTypes="0" containsString="0" containsNumber="1" containsInteger="1" minValue="101" maxValue="110"/>
    </cacheField>
    <cacheField name="Plan_id" numFmtId="1">
      <sharedItems containsSemiMixedTypes="0" containsString="0" containsNumber="1" containsInteger="1" minValue="501" maxValue="503"/>
    </cacheField>
    <cacheField name="Start_date" numFmtId="165">
      <sharedItems containsSemiMixedTypes="0" containsNonDate="0" containsDate="1" containsString="0" minDate="2025-01-10T00:00:00" maxDate="2025-05-13T00:00:00" count="50">
        <d v="2025-01-10T00:00:00"/>
        <d v="2025-01-12T00:00:00"/>
        <d v="2025-01-15T00:00:00"/>
        <d v="2025-01-18T00:00:00"/>
        <d v="2025-01-20T00:00:00"/>
        <d v="2025-01-22T00:00:00"/>
        <d v="2025-01-25T00:00:00"/>
        <d v="2025-01-28T00:00:00"/>
        <d v="2025-02-01T00:00:00"/>
        <d v="2025-02-03T00:00:00"/>
        <d v="2025-02-05T00:00:00"/>
        <d v="2025-02-07T00:00:00"/>
        <d v="2025-02-10T00:00:00"/>
        <d v="2025-02-12T00:00:00"/>
        <d v="2025-02-14T00:00:00"/>
        <d v="2025-02-16T00:00:00"/>
        <d v="2025-02-18T00:00:00"/>
        <d v="2025-02-20T00:00:00"/>
        <d v="2025-02-22T00:00:00"/>
        <d v="2025-02-25T00:00:00"/>
        <d v="2025-03-01T00:00:00"/>
        <d v="2025-03-03T00:00:00"/>
        <d v="2025-03-05T00:00:00"/>
        <d v="2025-03-08T00:00:00"/>
        <d v="2025-03-10T00:00:00"/>
        <d v="2025-03-12T00:00:00"/>
        <d v="2025-03-15T00:00:00"/>
        <d v="2025-03-17T00:00:00"/>
        <d v="2025-03-19T00:00:00"/>
        <d v="2025-03-22T00:00:00"/>
        <d v="2025-03-25T00:00:00"/>
        <d v="2025-03-28T00:00:00"/>
        <d v="2025-04-01T00:00:00"/>
        <d v="2025-04-03T00:00:00"/>
        <d v="2025-04-05T00:00:00"/>
        <d v="2025-04-08T00:00:00"/>
        <d v="2025-04-10T00:00:00"/>
        <d v="2025-04-12T00:00:00"/>
        <d v="2025-04-15T00:00:00"/>
        <d v="2025-04-17T00:00:00"/>
        <d v="2025-04-20T00:00:00"/>
        <d v="2025-04-22T00:00:00"/>
        <d v="2025-04-25T00:00:00"/>
        <d v="2025-04-28T00:00:00"/>
        <d v="2025-05-01T00:00:00"/>
        <d v="2025-05-03T00:00:00"/>
        <d v="2025-05-05T00:00:00"/>
        <d v="2025-05-08T00:00:00"/>
        <d v="2025-05-10T00:00:00"/>
        <d v="2025-05-12T00:00:00"/>
      </sharedItems>
      <fieldGroup par="7"/>
    </cacheField>
    <cacheField name="status" numFmtId="0">
      <sharedItems count="3">
        <s v="Active"/>
        <s v="Cancelled"/>
        <s v="Upgraded"/>
      </sharedItems>
    </cacheField>
    <cacheField name="Support_tickets_raised" numFmtId="1">
      <sharedItems containsSemiMixedTypes="0" containsString="0" containsNumber="1" containsInteger="1" minValue="0" maxValue="9"/>
    </cacheField>
    <cacheField name="Days (Start_date)" numFmtId="0" databaseField="0">
      <fieldGroup base="3">
        <rangePr groupBy="days" startDate="2025-01-10T00:00:00" endDate="2025-05-13T00:00:00"/>
        <groupItems count="368">
          <s v="&lt;1/10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13/2025"/>
        </groupItems>
      </fieldGroup>
    </cacheField>
    <cacheField name="Months (Start_date)" numFmtId="0" databaseField="0">
      <fieldGroup base="3">
        <rangePr groupBy="months" startDate="2025-01-10T00:00:00" endDate="2025-05-13T00:00:00"/>
        <groupItems count="14">
          <s v="&lt;1/10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n v="101"/>
    <n v="503"/>
    <x v="0"/>
    <x v="0"/>
    <n v="1"/>
  </r>
  <r>
    <n v="2"/>
    <n v="102"/>
    <n v="501"/>
    <x v="1"/>
    <x v="1"/>
    <n v="8"/>
  </r>
  <r>
    <n v="3"/>
    <n v="103"/>
    <n v="502"/>
    <x v="2"/>
    <x v="0"/>
    <n v="2"/>
  </r>
  <r>
    <n v="4"/>
    <n v="104"/>
    <n v="502"/>
    <x v="3"/>
    <x v="1"/>
    <n v="9"/>
  </r>
  <r>
    <n v="5"/>
    <n v="105"/>
    <n v="503"/>
    <x v="4"/>
    <x v="2"/>
    <n v="3"/>
  </r>
  <r>
    <n v="6"/>
    <n v="106"/>
    <n v="501"/>
    <x v="5"/>
    <x v="0"/>
    <n v="0"/>
  </r>
  <r>
    <n v="7"/>
    <n v="107"/>
    <n v="502"/>
    <x v="6"/>
    <x v="1"/>
    <n v="7"/>
  </r>
  <r>
    <n v="8"/>
    <n v="108"/>
    <n v="503"/>
    <x v="7"/>
    <x v="0"/>
    <n v="1"/>
  </r>
  <r>
    <n v="9"/>
    <n v="109"/>
    <n v="501"/>
    <x v="8"/>
    <x v="0"/>
    <n v="2"/>
  </r>
  <r>
    <n v="10"/>
    <n v="110"/>
    <n v="502"/>
    <x v="9"/>
    <x v="1"/>
    <n v="8"/>
  </r>
  <r>
    <n v="11"/>
    <n v="101"/>
    <n v="501"/>
    <x v="10"/>
    <x v="0"/>
    <n v="1"/>
  </r>
  <r>
    <n v="12"/>
    <n v="102"/>
    <n v="502"/>
    <x v="11"/>
    <x v="0"/>
    <n v="3"/>
  </r>
  <r>
    <n v="13"/>
    <n v="103"/>
    <n v="503"/>
    <x v="12"/>
    <x v="2"/>
    <n v="2"/>
  </r>
  <r>
    <n v="14"/>
    <n v="104"/>
    <n v="501"/>
    <x v="13"/>
    <x v="0"/>
    <n v="0"/>
  </r>
  <r>
    <n v="15"/>
    <n v="105"/>
    <n v="502"/>
    <x v="14"/>
    <x v="1"/>
    <n v="9"/>
  </r>
  <r>
    <n v="16"/>
    <n v="106"/>
    <n v="503"/>
    <x v="15"/>
    <x v="0"/>
    <n v="1"/>
  </r>
  <r>
    <n v="17"/>
    <n v="107"/>
    <n v="501"/>
    <x v="16"/>
    <x v="0"/>
    <n v="2"/>
  </r>
  <r>
    <n v="18"/>
    <n v="108"/>
    <n v="502"/>
    <x v="17"/>
    <x v="0"/>
    <n v="4"/>
  </r>
  <r>
    <n v="19"/>
    <n v="109"/>
    <n v="503"/>
    <x v="18"/>
    <x v="1"/>
    <n v="7"/>
  </r>
  <r>
    <n v="20"/>
    <n v="110"/>
    <n v="501"/>
    <x v="19"/>
    <x v="0"/>
    <n v="0"/>
  </r>
  <r>
    <n v="21"/>
    <n v="101"/>
    <n v="502"/>
    <x v="20"/>
    <x v="0"/>
    <n v="2"/>
  </r>
  <r>
    <n v="22"/>
    <n v="102"/>
    <n v="503"/>
    <x v="21"/>
    <x v="2"/>
    <n v="1"/>
  </r>
  <r>
    <n v="23"/>
    <n v="103"/>
    <n v="501"/>
    <x v="22"/>
    <x v="1"/>
    <n v="8"/>
  </r>
  <r>
    <n v="24"/>
    <n v="104"/>
    <n v="502"/>
    <x v="23"/>
    <x v="0"/>
    <n v="3"/>
  </r>
  <r>
    <n v="25"/>
    <n v="105"/>
    <n v="503"/>
    <x v="24"/>
    <x v="0"/>
    <n v="1"/>
  </r>
  <r>
    <n v="26"/>
    <n v="106"/>
    <n v="502"/>
    <x v="25"/>
    <x v="1"/>
    <n v="9"/>
  </r>
  <r>
    <n v="27"/>
    <n v="107"/>
    <n v="503"/>
    <x v="26"/>
    <x v="0"/>
    <n v="0"/>
  </r>
  <r>
    <n v="28"/>
    <n v="108"/>
    <n v="501"/>
    <x v="27"/>
    <x v="0"/>
    <n v="2"/>
  </r>
  <r>
    <n v="29"/>
    <n v="109"/>
    <n v="502"/>
    <x v="28"/>
    <x v="0"/>
    <n v="1"/>
  </r>
  <r>
    <n v="30"/>
    <n v="110"/>
    <n v="503"/>
    <x v="29"/>
    <x v="1"/>
    <n v="8"/>
  </r>
  <r>
    <n v="31"/>
    <n v="101"/>
    <n v="501"/>
    <x v="30"/>
    <x v="0"/>
    <n v="0"/>
  </r>
  <r>
    <n v="32"/>
    <n v="102"/>
    <n v="502"/>
    <x v="31"/>
    <x v="0"/>
    <n v="2"/>
  </r>
  <r>
    <n v="33"/>
    <n v="103"/>
    <n v="503"/>
    <x v="32"/>
    <x v="2"/>
    <n v="3"/>
  </r>
  <r>
    <n v="34"/>
    <n v="104"/>
    <n v="501"/>
    <x v="33"/>
    <x v="1"/>
    <n v="7"/>
  </r>
  <r>
    <n v="35"/>
    <n v="105"/>
    <n v="502"/>
    <x v="34"/>
    <x v="0"/>
    <n v="1"/>
  </r>
  <r>
    <n v="36"/>
    <n v="106"/>
    <n v="503"/>
    <x v="35"/>
    <x v="0"/>
    <n v="2"/>
  </r>
  <r>
    <n v="37"/>
    <n v="107"/>
    <n v="501"/>
    <x v="36"/>
    <x v="1"/>
    <n v="8"/>
  </r>
  <r>
    <n v="38"/>
    <n v="108"/>
    <n v="502"/>
    <x v="37"/>
    <x v="0"/>
    <n v="0"/>
  </r>
  <r>
    <n v="39"/>
    <n v="109"/>
    <n v="503"/>
    <x v="38"/>
    <x v="0"/>
    <n v="4"/>
  </r>
  <r>
    <n v="40"/>
    <n v="110"/>
    <n v="501"/>
    <x v="39"/>
    <x v="1"/>
    <n v="9"/>
  </r>
  <r>
    <n v="41"/>
    <n v="101"/>
    <n v="502"/>
    <x v="40"/>
    <x v="0"/>
    <n v="1"/>
  </r>
  <r>
    <n v="42"/>
    <n v="102"/>
    <n v="503"/>
    <x v="41"/>
    <x v="0"/>
    <n v="2"/>
  </r>
  <r>
    <n v="43"/>
    <n v="103"/>
    <n v="501"/>
    <x v="42"/>
    <x v="0"/>
    <n v="0"/>
  </r>
  <r>
    <n v="44"/>
    <n v="104"/>
    <n v="502"/>
    <x v="43"/>
    <x v="1"/>
    <n v="8"/>
  </r>
  <r>
    <n v="45"/>
    <n v="105"/>
    <n v="503"/>
    <x v="44"/>
    <x v="2"/>
    <n v="2"/>
  </r>
  <r>
    <n v="46"/>
    <n v="106"/>
    <n v="501"/>
    <x v="45"/>
    <x v="0"/>
    <n v="1"/>
  </r>
  <r>
    <n v="47"/>
    <n v="107"/>
    <n v="502"/>
    <x v="46"/>
    <x v="0"/>
    <n v="3"/>
  </r>
  <r>
    <n v="48"/>
    <n v="108"/>
    <n v="503"/>
    <x v="47"/>
    <x v="1"/>
    <n v="7"/>
  </r>
  <r>
    <n v="49"/>
    <n v="109"/>
    <n v="501"/>
    <x v="48"/>
    <x v="0"/>
    <n v="0"/>
  </r>
  <r>
    <n v="50"/>
    <n v="110"/>
    <n v="502"/>
    <x v="49"/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04D37-1B08-45C4-9472-218FC986D964}" name="PivotTable13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Industry">
  <location ref="A3:B20" firstHeaderRow="1" firstDataRow="1" firstDataCol="1" rowPageCount="1" colPageCount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1"/>
  </rowFields>
  <rowItems count="17">
    <i>
      <x/>
    </i>
    <i r="1">
      <x/>
    </i>
    <i r="1">
      <x v="1"/>
    </i>
    <i>
      <x v="1"/>
    </i>
    <i r="1">
      <x v="2"/>
    </i>
    <i r="1">
      <x/>
    </i>
    <i r="1">
      <x v="1"/>
    </i>
    <i>
      <x v="2"/>
    </i>
    <i r="1">
      <x v="2"/>
    </i>
    <i>
      <x v="3"/>
    </i>
    <i r="1">
      <x v="2"/>
    </i>
    <i r="1">
      <x/>
    </i>
    <i>
      <x v="4"/>
    </i>
    <i r="1">
      <x v="2"/>
    </i>
    <i r="1">
      <x/>
    </i>
    <i r="1">
      <x v="1"/>
    </i>
    <i t="grand">
      <x/>
    </i>
  </rowItems>
  <colItems count="1">
    <i/>
  </colItems>
  <pageFields count="1">
    <pageField fld="3" hier="18" name="[subscriptionTable].[status].&amp;[Cancelled]" cap="Cancelled"/>
  </pageFields>
  <dataFields count="1">
    <dataField name="Sum of Support_tickets_raised" fld="2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ubscriptionTable].[status].&amp;[Cancelled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asDAProject]"/>
        <x15:activeTabTopLevelEntity name="[ClientTable]"/>
        <x15:activeTabTopLevelEntity name="[planTable]"/>
        <x15:activeTabTopLevelEntity name="[subscription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F44A2-E5CD-494E-A342-6B3133820BAC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Months">
  <location ref="E9:G15" firstHeaderRow="0" firstDataRow="1" firstDataCol="1"/>
  <pivotFields count="8">
    <pivotField dataField="1" showAll="0"/>
    <pivotField numFmtId="1" showAll="0"/>
    <pivotField numFmtId="1" showAll="0"/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dataField="1" numFmtI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 sd="0"/>
      </items>
    </pivotField>
  </pivotFields>
  <rowFields count="3">
    <field x="7"/>
    <field x="6"/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ubscription_id" fld="0" subtotal="count" baseField="0" baseItem="0"/>
    <dataField name="Average of Support_tickets_raised" fld="5" subtotal="average" baseField="0" baseItem="0" numFmtId="1"/>
  </dataFields>
  <formats count="2">
    <format dxfId="7">
      <pivotArea dataOnly="0" outline="0" fieldPosition="0">
        <references count="1">
          <reference field="4294967294" count="1">
            <x v="0"/>
          </reference>
        </references>
      </pivotArea>
    </format>
    <format dxfId="6">
      <pivotArea dataOnly="0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DCA44-5B3A-4392-989E-00D8CB828CFD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Status">
  <location ref="E1:F5" firstHeaderRow="1" firstDataRow="1" firstDataCol="1"/>
  <pivotFields count="8">
    <pivotField showAll="0"/>
    <pivotField numFmtId="1" showAll="0"/>
    <pivotField numFmtId="1"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dataField="1" showAll="0" includeNewItemsInFilter="1" countASubtotal="1">
      <items count="4">
        <item x="0"/>
        <item x="1"/>
        <item x="2"/>
        <item t="countA"/>
      </items>
    </pivotField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4" subtotal="count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F0F1199-93CD-4594-B22D-BFC573B7F57B}" autoFormatId="16" applyNumberFormats="0" applyBorderFormats="0" applyFontFormats="0" applyPatternFormats="0" applyAlignmentFormats="0" applyWidthHeightFormats="0">
  <queryTableRefresh nextId="10">
    <queryTableFields count="6">
      <queryTableField id="1" name="plan_name" tableColumnId="1"/>
      <queryTableField id="2" name="tier" tableColumnId="2"/>
      <queryTableField id="3" name="total_subscriptions" tableColumnId="3"/>
      <queryTableField id="4" name="potential_monthly_revenue" tableColumnId="4"/>
      <queryTableField id="5" name="avg_support_tickets" tableColumnId="5"/>
      <queryTableField id="6" name="total_cancelled_account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E46A6E6-F2D3-4562-944A-649BDCF2EF90}" autoFormatId="16" applyNumberFormats="0" applyBorderFormats="0" applyFontFormats="0" applyPatternFormats="0" applyAlignmentFormats="0" applyWidthHeightFormats="0">
  <queryTableRefresh nextId="8">
    <queryTableFields count="7">
      <queryTableField id="1" name="plan_name" tableColumnId="1"/>
      <queryTableField id="2" name="tier" tableColumnId="2"/>
      <queryTableField id="3" name="total_subscriptions" tableColumnId="3"/>
      <queryTableField id="4" name="potential_monthly_revenue" tableColumnId="4"/>
      <queryTableField id="5" name="total_cancelled_accounts" tableColumnId="5"/>
      <queryTableField id="6" name="avg_tickets_cancelled_clients" tableColumnId="6"/>
      <queryTableField id="7" name="avg_tickets_active_clien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4C24A2C-8E32-4242-9864-8052DA9CE1C7}" autoFormatId="16" applyNumberFormats="0" applyBorderFormats="0" applyFontFormats="0" applyPatternFormats="0" applyAlignmentFormats="0" applyWidthHeightFormats="0">
  <queryTableRefresh nextId="6">
    <queryTableFields count="4">
      <queryTableField id="1" name="ID" tableColumnId="1"/>
      <queryTableField id="2" name="Company_Name" tableColumnId="2"/>
      <queryTableField id="3" name="Industry" tableColumnId="3"/>
      <queryTableField id="4" name="Countr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F9C65A5D-AC10-4D7A-8A50-F45BE783D3C9}" autoFormatId="16" applyNumberFormats="0" applyBorderFormats="0" applyFontFormats="0" applyPatternFormats="0" applyAlignmentFormats="0" applyWidthHeightFormats="0">
  <queryTableRefresh nextId="6">
    <queryTableFields count="4">
      <queryTableField id="1" name="Plan_id" tableColumnId="1"/>
      <queryTableField id="2" name="Plan_Name" tableColumnId="2"/>
      <queryTableField id="3" name="Tier" tableColumnId="3"/>
      <queryTableField id="4" name="Monthly_R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7F6E6EC3-C944-4343-836B-C1E967A569BE}" autoFormatId="16" applyNumberFormats="0" applyBorderFormats="0" applyFontFormats="0" applyPatternFormats="0" applyAlignmentFormats="0" applyWidthHeightFormats="0">
  <queryTableRefresh nextId="9">
    <queryTableFields count="6">
      <queryTableField id="1" name="Subscription_id" tableColumnId="1"/>
      <queryTableField id="2" name="Client_id" tableColumnId="2"/>
      <queryTableField id="3" name="Plan_id" tableColumnId="3"/>
      <queryTableField id="4" name="Start_date" tableColumnId="4"/>
      <queryTableField id="5" name="status" tableColumnId="5"/>
      <queryTableField id="6" name="Support_tickets_rais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B16F8-1473-4471-B215-5F906A46D262}" name="saasDAProject" displayName="saasDAProject" ref="A1:F4" tableType="queryTable" totalsRowShown="0" headerRowDxfId="33" dataDxfId="32">
  <autoFilter ref="A1:F4" xr:uid="{E4FB16F8-1473-4471-B215-5F906A46D262}"/>
  <tableColumns count="6">
    <tableColumn id="1" xr3:uid="{C5AA631C-5375-4B74-BC45-E01F777E0C50}" uniqueName="1" name="plan_name" queryTableFieldId="1" dataDxfId="31"/>
    <tableColumn id="2" xr3:uid="{8F86AC04-698D-4C15-8EC7-6AC6B64977FB}" uniqueName="2" name="tier" queryTableFieldId="2" dataDxfId="30"/>
    <tableColumn id="3" xr3:uid="{8DED922D-C383-4248-8062-846D3B6E851A}" uniqueName="3" name="total_subscriptions" queryTableFieldId="3" dataDxfId="29"/>
    <tableColumn id="4" xr3:uid="{E274A57D-21A1-4991-BDC1-78A145E6E011}" uniqueName="4" name="potential_monthly_revenue" queryTableFieldId="4" dataDxfId="28" dataCellStyle="Currency"/>
    <tableColumn id="5" xr3:uid="{AF2DC453-AF7F-4C85-BD44-B78E23307EE5}" uniqueName="5" name="avg_support_tickets" queryTableFieldId="5" dataDxfId="4"/>
    <tableColumn id="6" xr3:uid="{C71104B3-84BE-4C8D-997B-F898F5286CF1}" uniqueName="6" name="total_cancelled_accounts" queryTableFieldId="6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A0835B-57EA-4BBE-AC7E-F3EC77976C7C}" name="support_tickets" displayName="support_tickets" ref="J1:P4" tableType="queryTable" totalsRowShown="0">
  <autoFilter ref="J1:P4" xr:uid="{FBA0835B-57EA-4BBE-AC7E-F3EC77976C7C}"/>
  <tableColumns count="7">
    <tableColumn id="1" xr3:uid="{0DDFAA40-61B9-441E-AF5B-B9D3DC62C61B}" uniqueName="1" name="plan_name" queryTableFieldId="1" dataDxfId="27"/>
    <tableColumn id="2" xr3:uid="{DA42F370-132A-41C9-A504-5C51379180BE}" uniqueName="2" name="tier" queryTableFieldId="2" dataDxfId="26"/>
    <tableColumn id="3" xr3:uid="{75431E38-F189-4CC2-9BC0-B3656F0EAECC}" uniqueName="3" name="total_subscriptions" queryTableFieldId="3"/>
    <tableColumn id="4" xr3:uid="{E1984939-0962-4E3D-9DD0-38FA558F93A9}" uniqueName="4" name="potential_monthly_revenue" queryTableFieldId="4" dataDxfId="2"/>
    <tableColumn id="5" xr3:uid="{880E91E8-0350-4A35-B602-4631416AA9FF}" uniqueName="5" name="total_cancelled_accounts" queryTableFieldId="5"/>
    <tableColumn id="6" xr3:uid="{4A03B044-8D97-48EA-A471-95ECA87AA016}" uniqueName="6" name="avg_tickets_cancelled_clients" queryTableFieldId="6"/>
    <tableColumn id="7" xr3:uid="{D935853C-374D-45DF-9626-E3BAA8545203}" uniqueName="7" name="avg_tickets_active_clients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B433B9-9AAD-40BE-9367-AEA405DA52F4}" name="ClientTable" displayName="ClientTable" ref="S1:V11" tableType="queryTable" totalsRowShown="0" headerRowDxfId="25" dataDxfId="24">
  <autoFilter ref="S1:V11" xr:uid="{09B433B9-9AAD-40BE-9367-AEA405DA52F4}"/>
  <tableColumns count="4">
    <tableColumn id="1" xr3:uid="{469B23F8-7F62-490A-9408-3670608322B0}" uniqueName="1" name="ID" queryTableFieldId="1" dataDxfId="23"/>
    <tableColumn id="2" xr3:uid="{B03ACD17-E744-40D2-899F-F941615ADA26}" uniqueName="2" name="Company_Name" queryTableFieldId="2" dataDxfId="22"/>
    <tableColumn id="3" xr3:uid="{21BBAF86-089F-4365-92E2-B8D1371982C9}" uniqueName="3" name="Industry" queryTableFieldId="3" dataDxfId="21"/>
    <tableColumn id="4" xr3:uid="{76836D12-44B8-4672-9F52-16DFB8468F5B}" uniqueName="4" name="Country" queryTableFieldId="4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80DA66-DBF0-4E17-815F-51B0539BA93B}" name="planTable" displayName="planTable" ref="Z1:AC4" tableType="queryTable" totalsRowShown="0" headerRowDxfId="19" dataDxfId="18">
  <autoFilter ref="Z1:AC4" xr:uid="{E180DA66-DBF0-4E17-815F-51B0539BA93B}"/>
  <tableColumns count="4">
    <tableColumn id="1" xr3:uid="{F20ED678-DF81-47F3-9DE2-D5E3A57EA3D3}" uniqueName="1" name="Plan_id" queryTableFieldId="1" dataDxfId="17"/>
    <tableColumn id="2" xr3:uid="{CD9F0E6F-7B96-48A9-A2F8-37032A8BFC1F}" uniqueName="2" name="Plan_Name" queryTableFieldId="2" dataDxfId="16"/>
    <tableColumn id="3" xr3:uid="{EDC3C1E9-E7A4-4C3C-A9BC-1590F6C2DC31}" uniqueName="3" name="Tier" queryTableFieldId="3" dataDxfId="1"/>
    <tableColumn id="4" xr3:uid="{B4413EFA-21C9-4AC9-A295-8E285C404615}" uniqueName="4" name="Monthly_Rate" queryTableFieldId="4" dataDxfId="0" dataCellStyle="Currency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D51E14-A503-4A92-AD76-0A599EEFFCFF}" name="subscriptionTable" displayName="subscriptionTable" ref="AF1:AK51" tableType="queryTable" totalsRowShown="0" headerRowDxfId="15" dataDxfId="14">
  <autoFilter ref="AF1:AK51" xr:uid="{C2D51E14-A503-4A92-AD76-0A599EEFFCFF}"/>
  <tableColumns count="6">
    <tableColumn id="1" xr3:uid="{579E9FC1-6365-4BCF-9547-046AE837D942}" uniqueName="1" name="Subscription_id" queryTableFieldId="1" dataDxfId="13"/>
    <tableColumn id="2" xr3:uid="{8BFC2286-D8E2-478A-9F98-8C37F7E7B7D4}" uniqueName="2" name="Client_id" queryTableFieldId="2" dataDxfId="12"/>
    <tableColumn id="3" xr3:uid="{BC16A21A-2A26-426F-A395-67F44DAC031F}" uniqueName="3" name="Plan_id" queryTableFieldId="3" dataDxfId="11"/>
    <tableColumn id="4" xr3:uid="{36A1E592-A0FC-4365-9F24-A55CFE62F70B}" uniqueName="4" name="Start_date" queryTableFieldId="4" dataDxfId="10"/>
    <tableColumn id="5" xr3:uid="{24660D17-CD59-495C-87AE-4C5BF41DF17F}" uniqueName="5" name="status" queryTableFieldId="5" dataDxfId="9"/>
    <tableColumn id="6" xr3:uid="{81533482-C5A3-4E0E-9392-21E65B60015D}" uniqueName="6" name="Support_tickets_raised" queryTableFieldId="6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EF48-4511-4936-8548-B98406259D4A}">
  <dimension ref="A1:AN51"/>
  <sheetViews>
    <sheetView topLeftCell="AH1" workbookViewId="0">
      <selection activeCell="AC1" sqref="AC1:AC1048576"/>
    </sheetView>
  </sheetViews>
  <sheetFormatPr defaultColWidth="9" defaultRowHeight="15" x14ac:dyDescent="0.25"/>
  <cols>
    <col min="1" max="1" width="19.140625" style="22" bestFit="1" customWidth="1"/>
    <col min="2" max="2" width="12.140625" style="22" bestFit="1" customWidth="1"/>
    <col min="3" max="3" width="20.85546875" style="18" bestFit="1" customWidth="1"/>
    <col min="4" max="4" width="28.5703125" style="29" bestFit="1" customWidth="1"/>
    <col min="5" max="5" width="21.42578125" style="1" bestFit="1" customWidth="1"/>
    <col min="6" max="6" width="26.42578125" style="18" bestFit="1" customWidth="1"/>
    <col min="7" max="7" width="11.42578125" bestFit="1" customWidth="1"/>
    <col min="10" max="10" width="19.28515625" bestFit="1" customWidth="1"/>
    <col min="11" max="11" width="12.28515625" bestFit="1" customWidth="1"/>
    <col min="12" max="12" width="20.85546875" bestFit="1" customWidth="1"/>
    <col min="13" max="13" width="28.5703125" style="44" bestFit="1" customWidth="1"/>
    <col min="14" max="14" width="26.42578125" bestFit="1" customWidth="1"/>
    <col min="15" max="15" width="30.42578125" bestFit="1" customWidth="1"/>
    <col min="16" max="16" width="27" bestFit="1" customWidth="1"/>
    <col min="19" max="19" width="7.42578125" style="18" bestFit="1" customWidth="1"/>
    <col min="20" max="20" width="18" style="22" bestFit="1" customWidth="1"/>
    <col min="21" max="21" width="12.42578125" style="22" bestFit="1" customWidth="1"/>
    <col min="22" max="22" width="12.5703125" style="22" bestFit="1" customWidth="1"/>
    <col min="26" max="26" width="9.85546875" style="18" bestFit="1" customWidth="1"/>
    <col min="27" max="27" width="19.140625" style="22" bestFit="1" customWidth="1"/>
    <col min="28" max="28" width="12.140625" style="22" bestFit="1" customWidth="1"/>
    <col min="29" max="29" width="17.42578125" style="44" bestFit="1" customWidth="1"/>
    <col min="32" max="32" width="19.42578125" style="18" bestFit="1" customWidth="1"/>
    <col min="33" max="33" width="13.5703125" style="18" bestFit="1" customWidth="1"/>
    <col min="34" max="34" width="12.140625" style="18" bestFit="1" customWidth="1"/>
    <col min="35" max="35" width="14.7109375" bestFit="1" customWidth="1"/>
    <col min="36" max="36" width="9.85546875" style="22" bestFit="1" customWidth="1"/>
    <col min="37" max="37" width="26.28515625" style="18" bestFit="1" customWidth="1"/>
    <col min="39" max="39" width="21.7109375" bestFit="1" customWidth="1"/>
    <col min="40" max="40" width="9.7109375" bestFit="1" customWidth="1"/>
  </cols>
  <sheetData>
    <row r="1" spans="1:40" x14ac:dyDescent="0.25">
      <c r="A1" s="22" t="s">
        <v>0</v>
      </c>
      <c r="B1" s="22" t="s">
        <v>1</v>
      </c>
      <c r="C1" s="18" t="s">
        <v>2</v>
      </c>
      <c r="D1" s="29" t="s">
        <v>3</v>
      </c>
      <c r="E1" s="1" t="s">
        <v>4</v>
      </c>
      <c r="F1" s="18" t="s">
        <v>5</v>
      </c>
      <c r="J1" t="s">
        <v>0</v>
      </c>
      <c r="K1" t="s">
        <v>1</v>
      </c>
      <c r="L1" t="s">
        <v>2</v>
      </c>
      <c r="M1" s="44" t="s">
        <v>3</v>
      </c>
      <c r="N1" t="s">
        <v>5</v>
      </c>
      <c r="O1" t="s">
        <v>60</v>
      </c>
      <c r="P1" t="s">
        <v>61</v>
      </c>
      <c r="S1" s="7" t="s">
        <v>13</v>
      </c>
      <c r="T1" s="21" t="s">
        <v>14</v>
      </c>
      <c r="U1" s="21" t="s">
        <v>15</v>
      </c>
      <c r="V1" s="31" t="s">
        <v>16</v>
      </c>
      <c r="W1" s="6"/>
      <c r="Z1" s="33" t="s">
        <v>35</v>
      </c>
      <c r="AA1" s="28" t="s">
        <v>36</v>
      </c>
      <c r="AB1" s="28" t="s">
        <v>37</v>
      </c>
      <c r="AC1" s="45" t="s">
        <v>38</v>
      </c>
      <c r="AF1" s="7" t="s">
        <v>39</v>
      </c>
      <c r="AG1" s="7" t="s">
        <v>40</v>
      </c>
      <c r="AH1" s="7" t="s">
        <v>35</v>
      </c>
      <c r="AI1" s="14" t="s">
        <v>41</v>
      </c>
      <c r="AJ1" s="21" t="s">
        <v>42</v>
      </c>
      <c r="AK1" s="7" t="s">
        <v>43</v>
      </c>
    </row>
    <row r="2" spans="1:40" x14ac:dyDescent="0.25">
      <c r="A2" s="28" t="s">
        <v>6</v>
      </c>
      <c r="B2" s="28" t="s">
        <v>7</v>
      </c>
      <c r="C2" s="5">
        <v>16</v>
      </c>
      <c r="D2" s="30">
        <v>15984</v>
      </c>
      <c r="E2" s="3">
        <v>2.8125</v>
      </c>
      <c r="F2" s="5">
        <v>3</v>
      </c>
      <c r="J2" t="s">
        <v>6</v>
      </c>
      <c r="K2" t="s">
        <v>7</v>
      </c>
      <c r="L2">
        <v>16</v>
      </c>
      <c r="M2" s="44">
        <v>15984</v>
      </c>
      <c r="N2">
        <v>3</v>
      </c>
      <c r="O2">
        <v>7.3333000000000004</v>
      </c>
      <c r="P2">
        <v>1.5</v>
      </c>
      <c r="S2" s="7">
        <v>101</v>
      </c>
      <c r="T2" s="21" t="s">
        <v>17</v>
      </c>
      <c r="U2" s="21" t="s">
        <v>18</v>
      </c>
      <c r="V2" s="32" t="s">
        <v>19</v>
      </c>
      <c r="W2" s="6"/>
      <c r="Z2" s="34">
        <v>501</v>
      </c>
      <c r="AA2" s="35" t="s">
        <v>10</v>
      </c>
      <c r="AB2" s="35" t="s">
        <v>11</v>
      </c>
      <c r="AC2" s="46">
        <v>49</v>
      </c>
      <c r="AF2" s="7">
        <v>1</v>
      </c>
      <c r="AG2" s="7">
        <v>101</v>
      </c>
      <c r="AH2" s="7">
        <v>503</v>
      </c>
      <c r="AI2" s="14">
        <v>45667</v>
      </c>
      <c r="AJ2" s="21" t="s">
        <v>44</v>
      </c>
      <c r="AK2" s="7">
        <v>1</v>
      </c>
      <c r="AM2" s="24" t="s">
        <v>68</v>
      </c>
      <c r="AN2" s="23">
        <v>6</v>
      </c>
    </row>
    <row r="3" spans="1:40" x14ac:dyDescent="0.25">
      <c r="A3" s="28" t="s">
        <v>8</v>
      </c>
      <c r="B3" s="28" t="s">
        <v>9</v>
      </c>
      <c r="C3" s="5">
        <v>18</v>
      </c>
      <c r="D3" s="30">
        <v>3582</v>
      </c>
      <c r="E3" s="3">
        <v>4.1111000000000004</v>
      </c>
      <c r="F3" s="5">
        <v>6</v>
      </c>
      <c r="J3" t="s">
        <v>8</v>
      </c>
      <c r="K3" t="s">
        <v>9</v>
      </c>
      <c r="L3">
        <v>18</v>
      </c>
      <c r="M3" s="44">
        <v>3582</v>
      </c>
      <c r="N3">
        <v>6</v>
      </c>
      <c r="O3">
        <v>8.3332999999999995</v>
      </c>
      <c r="P3">
        <v>2</v>
      </c>
      <c r="S3" s="7">
        <v>102</v>
      </c>
      <c r="T3" s="21" t="s">
        <v>20</v>
      </c>
      <c r="U3" s="21" t="s">
        <v>21</v>
      </c>
      <c r="V3" s="32" t="s">
        <v>22</v>
      </c>
      <c r="W3" s="31" t="s">
        <v>22</v>
      </c>
      <c r="Z3" s="34">
        <v>502</v>
      </c>
      <c r="AA3" s="35" t="s">
        <v>8</v>
      </c>
      <c r="AB3" s="35" t="s">
        <v>9</v>
      </c>
      <c r="AC3" s="46">
        <v>199</v>
      </c>
      <c r="AF3" s="7">
        <v>2</v>
      </c>
      <c r="AG3" s="7">
        <v>102</v>
      </c>
      <c r="AH3" s="7">
        <v>501</v>
      </c>
      <c r="AI3" s="14">
        <v>45669</v>
      </c>
      <c r="AJ3" s="21" t="s">
        <v>45</v>
      </c>
      <c r="AK3" s="7">
        <v>8</v>
      </c>
      <c r="AM3" s="25" t="s">
        <v>64</v>
      </c>
      <c r="AN3" s="17">
        <f>VLOOKUP(AN2,LIST1,2,0)</f>
        <v>106</v>
      </c>
    </row>
    <row r="4" spans="1:40" x14ac:dyDescent="0.25">
      <c r="A4" s="28" t="s">
        <v>10</v>
      </c>
      <c r="B4" s="28" t="s">
        <v>11</v>
      </c>
      <c r="C4" s="5">
        <v>16</v>
      </c>
      <c r="D4" s="30">
        <v>784</v>
      </c>
      <c r="E4" s="3">
        <v>3</v>
      </c>
      <c r="F4" s="5">
        <v>5</v>
      </c>
      <c r="J4" t="s">
        <v>10</v>
      </c>
      <c r="K4" t="s">
        <v>11</v>
      </c>
      <c r="L4">
        <v>16</v>
      </c>
      <c r="M4" s="44">
        <v>784</v>
      </c>
      <c r="N4">
        <v>5</v>
      </c>
      <c r="O4">
        <v>8</v>
      </c>
      <c r="P4">
        <v>0.72729999999999995</v>
      </c>
      <c r="S4" s="7">
        <v>103</v>
      </c>
      <c r="T4" s="21" t="s">
        <v>23</v>
      </c>
      <c r="U4" s="21" t="s">
        <v>24</v>
      </c>
      <c r="V4" s="32" t="s">
        <v>25</v>
      </c>
      <c r="W4" s="6"/>
      <c r="Z4" s="34">
        <v>503</v>
      </c>
      <c r="AA4" s="35" t="s">
        <v>6</v>
      </c>
      <c r="AB4" s="35" t="s">
        <v>7</v>
      </c>
      <c r="AC4" s="46">
        <v>999</v>
      </c>
      <c r="AF4" s="7">
        <v>3</v>
      </c>
      <c r="AG4" s="7">
        <v>103</v>
      </c>
      <c r="AH4" s="7">
        <v>502</v>
      </c>
      <c r="AI4" s="14">
        <v>45672</v>
      </c>
      <c r="AJ4" s="21" t="s">
        <v>44</v>
      </c>
      <c r="AK4" s="7">
        <v>2</v>
      </c>
      <c r="AM4" s="25" t="s">
        <v>65</v>
      </c>
      <c r="AN4" s="17">
        <f>VLOOKUP(AN2,LIST1,3,0)</f>
        <v>501</v>
      </c>
    </row>
    <row r="5" spans="1:40" x14ac:dyDescent="0.25">
      <c r="S5" s="7">
        <v>104</v>
      </c>
      <c r="T5" s="21" t="s">
        <v>26</v>
      </c>
      <c r="U5" s="21" t="s">
        <v>27</v>
      </c>
      <c r="V5" s="32" t="s">
        <v>19</v>
      </c>
      <c r="W5" s="6"/>
      <c r="AF5" s="7">
        <v>4</v>
      </c>
      <c r="AG5" s="7">
        <v>104</v>
      </c>
      <c r="AH5" s="7">
        <v>502</v>
      </c>
      <c r="AI5" s="14">
        <v>45675</v>
      </c>
      <c r="AJ5" s="21" t="s">
        <v>45</v>
      </c>
      <c r="AK5" s="7">
        <v>9</v>
      </c>
      <c r="AM5" s="36" t="s">
        <v>66</v>
      </c>
      <c r="AN5" s="37">
        <f>VLOOKUP(AN2,LIST1,4,0)</f>
        <v>45679</v>
      </c>
    </row>
    <row r="6" spans="1:40" x14ac:dyDescent="0.25">
      <c r="S6" s="7">
        <v>105</v>
      </c>
      <c r="T6" s="21" t="s">
        <v>28</v>
      </c>
      <c r="U6" s="21" t="s">
        <v>29</v>
      </c>
      <c r="V6" s="32" t="s">
        <v>22</v>
      </c>
      <c r="W6" s="6"/>
      <c r="AF6" s="7">
        <v>5</v>
      </c>
      <c r="AG6" s="7">
        <v>105</v>
      </c>
      <c r="AH6" s="7">
        <v>503</v>
      </c>
      <c r="AI6" s="14">
        <v>45677</v>
      </c>
      <c r="AJ6" s="21" t="s">
        <v>46</v>
      </c>
      <c r="AK6" s="7">
        <v>3</v>
      </c>
      <c r="AM6" s="26" t="s">
        <v>58</v>
      </c>
      <c r="AN6" s="17" t="str">
        <f>VLOOKUP(AN2,LIST1,5,0)</f>
        <v>Active</v>
      </c>
    </row>
    <row r="7" spans="1:40" x14ac:dyDescent="0.25">
      <c r="S7" s="7">
        <v>106</v>
      </c>
      <c r="T7" s="21" t="s">
        <v>30</v>
      </c>
      <c r="U7" s="21" t="s">
        <v>18</v>
      </c>
      <c r="V7" s="32" t="s">
        <v>25</v>
      </c>
      <c r="W7" s="6"/>
      <c r="AF7" s="7">
        <v>6</v>
      </c>
      <c r="AG7" s="7">
        <v>106</v>
      </c>
      <c r="AH7" s="7">
        <v>501</v>
      </c>
      <c r="AI7" s="14">
        <v>45679</v>
      </c>
      <c r="AJ7" s="21" t="s">
        <v>44</v>
      </c>
      <c r="AK7" s="7">
        <v>0</v>
      </c>
      <c r="AM7" s="27" t="s">
        <v>67</v>
      </c>
      <c r="AN7" s="17">
        <f>VLOOKUP(AN2,LIST1,6,0)</f>
        <v>0</v>
      </c>
    </row>
    <row r="8" spans="1:40" x14ac:dyDescent="0.25">
      <c r="S8" s="7">
        <v>107</v>
      </c>
      <c r="T8" s="21" t="s">
        <v>31</v>
      </c>
      <c r="U8" s="21" t="s">
        <v>21</v>
      </c>
      <c r="V8" s="32" t="s">
        <v>19</v>
      </c>
      <c r="W8" s="6"/>
      <c r="AF8" s="7">
        <v>7</v>
      </c>
      <c r="AG8" s="7">
        <v>107</v>
      </c>
      <c r="AH8" s="7">
        <v>502</v>
      </c>
      <c r="AI8" s="14">
        <v>45682</v>
      </c>
      <c r="AJ8" s="21" t="s">
        <v>45</v>
      </c>
      <c r="AK8" s="7">
        <v>7</v>
      </c>
    </row>
    <row r="9" spans="1:40" x14ac:dyDescent="0.25">
      <c r="S9" s="7">
        <v>108</v>
      </c>
      <c r="T9" s="21" t="s">
        <v>32</v>
      </c>
      <c r="U9" s="21" t="s">
        <v>24</v>
      </c>
      <c r="V9" s="32" t="s">
        <v>22</v>
      </c>
      <c r="W9" s="6"/>
      <c r="AF9" s="7">
        <v>8</v>
      </c>
      <c r="AG9" s="7">
        <v>108</v>
      </c>
      <c r="AH9" s="7">
        <v>503</v>
      </c>
      <c r="AI9" s="14">
        <v>45685</v>
      </c>
      <c r="AJ9" s="21" t="s">
        <v>44</v>
      </c>
      <c r="AK9" s="7">
        <v>1</v>
      </c>
    </row>
    <row r="10" spans="1:40" x14ac:dyDescent="0.25">
      <c r="S10" s="7">
        <v>109</v>
      </c>
      <c r="T10" s="21" t="s">
        <v>33</v>
      </c>
      <c r="U10" s="21" t="s">
        <v>27</v>
      </c>
      <c r="V10" s="32" t="s">
        <v>25</v>
      </c>
      <c r="W10" s="6"/>
      <c r="AF10" s="7">
        <v>9</v>
      </c>
      <c r="AG10" s="7">
        <v>109</v>
      </c>
      <c r="AH10" s="7">
        <v>501</v>
      </c>
      <c r="AI10" s="14">
        <v>45689</v>
      </c>
      <c r="AJ10" s="21" t="s">
        <v>44</v>
      </c>
      <c r="AK10" s="7">
        <v>2</v>
      </c>
    </row>
    <row r="11" spans="1:40" x14ac:dyDescent="0.25">
      <c r="S11" s="7">
        <v>110</v>
      </c>
      <c r="T11" s="21" t="s">
        <v>34</v>
      </c>
      <c r="U11" s="21" t="s">
        <v>29</v>
      </c>
      <c r="V11" s="32" t="s">
        <v>19</v>
      </c>
      <c r="W11" s="6"/>
      <c r="AF11" s="7">
        <v>10</v>
      </c>
      <c r="AG11" s="7">
        <v>110</v>
      </c>
      <c r="AH11" s="7">
        <v>502</v>
      </c>
      <c r="AI11" s="14">
        <v>45691</v>
      </c>
      <c r="AJ11" s="21" t="s">
        <v>45</v>
      </c>
      <c r="AK11" s="7">
        <v>8</v>
      </c>
    </row>
    <row r="12" spans="1:40" x14ac:dyDescent="0.25">
      <c r="AF12" s="7">
        <v>11</v>
      </c>
      <c r="AG12" s="7">
        <v>101</v>
      </c>
      <c r="AH12" s="7">
        <v>501</v>
      </c>
      <c r="AI12" s="14">
        <v>45693</v>
      </c>
      <c r="AJ12" s="21" t="s">
        <v>44</v>
      </c>
      <c r="AK12" s="7">
        <v>1</v>
      </c>
    </row>
    <row r="13" spans="1:40" x14ac:dyDescent="0.25">
      <c r="AF13" s="7">
        <v>12</v>
      </c>
      <c r="AG13" s="7">
        <v>102</v>
      </c>
      <c r="AH13" s="7">
        <v>502</v>
      </c>
      <c r="AI13" s="14">
        <v>45695</v>
      </c>
      <c r="AJ13" s="21" t="s">
        <v>44</v>
      </c>
      <c r="AK13" s="7">
        <v>3</v>
      </c>
    </row>
    <row r="14" spans="1:40" x14ac:dyDescent="0.25">
      <c r="AF14" s="7">
        <v>13</v>
      </c>
      <c r="AG14" s="7">
        <v>103</v>
      </c>
      <c r="AH14" s="7">
        <v>503</v>
      </c>
      <c r="AI14" s="14">
        <v>45698</v>
      </c>
      <c r="AJ14" s="21" t="s">
        <v>46</v>
      </c>
      <c r="AK14" s="7">
        <v>2</v>
      </c>
    </row>
    <row r="15" spans="1:40" x14ac:dyDescent="0.25">
      <c r="AF15" s="7">
        <v>14</v>
      </c>
      <c r="AG15" s="7">
        <v>104</v>
      </c>
      <c r="AH15" s="7">
        <v>501</v>
      </c>
      <c r="AI15" s="14">
        <v>45700</v>
      </c>
      <c r="AJ15" s="21" t="s">
        <v>44</v>
      </c>
      <c r="AK15" s="7">
        <v>0</v>
      </c>
    </row>
    <row r="16" spans="1:40" x14ac:dyDescent="0.25">
      <c r="AF16" s="7">
        <v>15</v>
      </c>
      <c r="AG16" s="7">
        <v>105</v>
      </c>
      <c r="AH16" s="7">
        <v>502</v>
      </c>
      <c r="AI16" s="14">
        <v>45702</v>
      </c>
      <c r="AJ16" s="21" t="s">
        <v>45</v>
      </c>
      <c r="AK16" s="7">
        <v>9</v>
      </c>
    </row>
    <row r="17" spans="32:37" x14ac:dyDescent="0.25">
      <c r="AF17" s="7">
        <v>16</v>
      </c>
      <c r="AG17" s="7">
        <v>106</v>
      </c>
      <c r="AH17" s="7">
        <v>503</v>
      </c>
      <c r="AI17" s="14">
        <v>45704</v>
      </c>
      <c r="AJ17" s="21" t="s">
        <v>44</v>
      </c>
      <c r="AK17" s="7">
        <v>1</v>
      </c>
    </row>
    <row r="18" spans="32:37" x14ac:dyDescent="0.25">
      <c r="AF18" s="7">
        <v>17</v>
      </c>
      <c r="AG18" s="7">
        <v>107</v>
      </c>
      <c r="AH18" s="7">
        <v>501</v>
      </c>
      <c r="AI18" s="14">
        <v>45706</v>
      </c>
      <c r="AJ18" s="21" t="s">
        <v>44</v>
      </c>
      <c r="AK18" s="7">
        <v>2</v>
      </c>
    </row>
    <row r="19" spans="32:37" x14ac:dyDescent="0.25">
      <c r="AF19" s="7">
        <v>18</v>
      </c>
      <c r="AG19" s="7">
        <v>108</v>
      </c>
      <c r="AH19" s="7">
        <v>502</v>
      </c>
      <c r="AI19" s="14">
        <v>45708</v>
      </c>
      <c r="AJ19" s="21" t="s">
        <v>44</v>
      </c>
      <c r="AK19" s="7">
        <v>4</v>
      </c>
    </row>
    <row r="20" spans="32:37" x14ac:dyDescent="0.25">
      <c r="AF20" s="7">
        <v>19</v>
      </c>
      <c r="AG20" s="7">
        <v>109</v>
      </c>
      <c r="AH20" s="7">
        <v>503</v>
      </c>
      <c r="AI20" s="14">
        <v>45710</v>
      </c>
      <c r="AJ20" s="21" t="s">
        <v>45</v>
      </c>
      <c r="AK20" s="7">
        <v>7</v>
      </c>
    </row>
    <row r="21" spans="32:37" x14ac:dyDescent="0.25">
      <c r="AF21" s="7">
        <v>20</v>
      </c>
      <c r="AG21" s="7">
        <v>110</v>
      </c>
      <c r="AH21" s="7">
        <v>501</v>
      </c>
      <c r="AI21" s="14">
        <v>45713</v>
      </c>
      <c r="AJ21" s="21" t="s">
        <v>44</v>
      </c>
      <c r="AK21" s="7">
        <v>0</v>
      </c>
    </row>
    <row r="22" spans="32:37" x14ac:dyDescent="0.25">
      <c r="AF22" s="7">
        <v>21</v>
      </c>
      <c r="AG22" s="7">
        <v>101</v>
      </c>
      <c r="AH22" s="7">
        <v>502</v>
      </c>
      <c r="AI22" s="14">
        <v>45717</v>
      </c>
      <c r="AJ22" s="21" t="s">
        <v>44</v>
      </c>
      <c r="AK22" s="7">
        <v>2</v>
      </c>
    </row>
    <row r="23" spans="32:37" x14ac:dyDescent="0.25">
      <c r="AF23" s="7">
        <v>22</v>
      </c>
      <c r="AG23" s="7">
        <v>102</v>
      </c>
      <c r="AH23" s="7">
        <v>503</v>
      </c>
      <c r="AI23" s="14">
        <v>45719</v>
      </c>
      <c r="AJ23" s="21" t="s">
        <v>46</v>
      </c>
      <c r="AK23" s="7">
        <v>1</v>
      </c>
    </row>
    <row r="24" spans="32:37" x14ac:dyDescent="0.25">
      <c r="AF24" s="7">
        <v>23</v>
      </c>
      <c r="AG24" s="7">
        <v>103</v>
      </c>
      <c r="AH24" s="7">
        <v>501</v>
      </c>
      <c r="AI24" s="14">
        <v>45721</v>
      </c>
      <c r="AJ24" s="21" t="s">
        <v>45</v>
      </c>
      <c r="AK24" s="7">
        <v>8</v>
      </c>
    </row>
    <row r="25" spans="32:37" x14ac:dyDescent="0.25">
      <c r="AF25" s="7">
        <v>24</v>
      </c>
      <c r="AG25" s="7">
        <v>104</v>
      </c>
      <c r="AH25" s="7">
        <v>502</v>
      </c>
      <c r="AI25" s="14">
        <v>45724</v>
      </c>
      <c r="AJ25" s="21" t="s">
        <v>44</v>
      </c>
      <c r="AK25" s="7">
        <v>3</v>
      </c>
    </row>
    <row r="26" spans="32:37" x14ac:dyDescent="0.25">
      <c r="AF26" s="7">
        <v>25</v>
      </c>
      <c r="AG26" s="7">
        <v>105</v>
      </c>
      <c r="AH26" s="7">
        <v>503</v>
      </c>
      <c r="AI26" s="14">
        <v>45726</v>
      </c>
      <c r="AJ26" s="21" t="s">
        <v>44</v>
      </c>
      <c r="AK26" s="7">
        <v>1</v>
      </c>
    </row>
    <row r="27" spans="32:37" x14ac:dyDescent="0.25">
      <c r="AF27" s="7">
        <v>26</v>
      </c>
      <c r="AG27" s="7">
        <v>106</v>
      </c>
      <c r="AH27" s="7">
        <v>502</v>
      </c>
      <c r="AI27" s="14">
        <v>45728</v>
      </c>
      <c r="AJ27" s="21" t="s">
        <v>45</v>
      </c>
      <c r="AK27" s="7">
        <v>9</v>
      </c>
    </row>
    <row r="28" spans="32:37" x14ac:dyDescent="0.25">
      <c r="AF28" s="7">
        <v>27</v>
      </c>
      <c r="AG28" s="7">
        <v>107</v>
      </c>
      <c r="AH28" s="7">
        <v>503</v>
      </c>
      <c r="AI28" s="14">
        <v>45731</v>
      </c>
      <c r="AJ28" s="21" t="s">
        <v>44</v>
      </c>
      <c r="AK28" s="7">
        <v>0</v>
      </c>
    </row>
    <row r="29" spans="32:37" x14ac:dyDescent="0.25">
      <c r="AF29" s="7">
        <v>28</v>
      </c>
      <c r="AG29" s="7">
        <v>108</v>
      </c>
      <c r="AH29" s="7">
        <v>501</v>
      </c>
      <c r="AI29" s="14">
        <v>45733</v>
      </c>
      <c r="AJ29" s="21" t="s">
        <v>44</v>
      </c>
      <c r="AK29" s="7">
        <v>2</v>
      </c>
    </row>
    <row r="30" spans="32:37" x14ac:dyDescent="0.25">
      <c r="AF30" s="7">
        <v>29</v>
      </c>
      <c r="AG30" s="7">
        <v>109</v>
      </c>
      <c r="AH30" s="7">
        <v>502</v>
      </c>
      <c r="AI30" s="14">
        <v>45735</v>
      </c>
      <c r="AJ30" s="21" t="s">
        <v>44</v>
      </c>
      <c r="AK30" s="7">
        <v>1</v>
      </c>
    </row>
    <row r="31" spans="32:37" x14ac:dyDescent="0.25">
      <c r="AF31" s="7">
        <v>30</v>
      </c>
      <c r="AG31" s="7">
        <v>110</v>
      </c>
      <c r="AH31" s="7">
        <v>503</v>
      </c>
      <c r="AI31" s="14">
        <v>45738</v>
      </c>
      <c r="AJ31" s="21" t="s">
        <v>45</v>
      </c>
      <c r="AK31" s="7">
        <v>8</v>
      </c>
    </row>
    <row r="32" spans="32:37" x14ac:dyDescent="0.25">
      <c r="AF32" s="7">
        <v>31</v>
      </c>
      <c r="AG32" s="7">
        <v>101</v>
      </c>
      <c r="AH32" s="7">
        <v>501</v>
      </c>
      <c r="AI32" s="14">
        <v>45741</v>
      </c>
      <c r="AJ32" s="21" t="s">
        <v>44</v>
      </c>
      <c r="AK32" s="7">
        <v>0</v>
      </c>
    </row>
    <row r="33" spans="32:37" x14ac:dyDescent="0.25">
      <c r="AF33" s="7">
        <v>32</v>
      </c>
      <c r="AG33" s="7">
        <v>102</v>
      </c>
      <c r="AH33" s="7">
        <v>502</v>
      </c>
      <c r="AI33" s="14">
        <v>45744</v>
      </c>
      <c r="AJ33" s="21" t="s">
        <v>44</v>
      </c>
      <c r="AK33" s="7">
        <v>2</v>
      </c>
    </row>
    <row r="34" spans="32:37" x14ac:dyDescent="0.25">
      <c r="AF34" s="7">
        <v>33</v>
      </c>
      <c r="AG34" s="7">
        <v>103</v>
      </c>
      <c r="AH34" s="7">
        <v>503</v>
      </c>
      <c r="AI34" s="14">
        <v>45748</v>
      </c>
      <c r="AJ34" s="21" t="s">
        <v>46</v>
      </c>
      <c r="AK34" s="7">
        <v>3</v>
      </c>
    </row>
    <row r="35" spans="32:37" x14ac:dyDescent="0.25">
      <c r="AF35" s="7">
        <v>34</v>
      </c>
      <c r="AG35" s="7">
        <v>104</v>
      </c>
      <c r="AH35" s="7">
        <v>501</v>
      </c>
      <c r="AI35" s="14">
        <v>45750</v>
      </c>
      <c r="AJ35" s="21" t="s">
        <v>45</v>
      </c>
      <c r="AK35" s="7">
        <v>7</v>
      </c>
    </row>
    <row r="36" spans="32:37" x14ac:dyDescent="0.25">
      <c r="AF36" s="7">
        <v>35</v>
      </c>
      <c r="AG36" s="7">
        <v>105</v>
      </c>
      <c r="AH36" s="7">
        <v>502</v>
      </c>
      <c r="AI36" s="14">
        <v>45752</v>
      </c>
      <c r="AJ36" s="21" t="s">
        <v>44</v>
      </c>
      <c r="AK36" s="7">
        <v>1</v>
      </c>
    </row>
    <row r="37" spans="32:37" x14ac:dyDescent="0.25">
      <c r="AF37" s="7">
        <v>36</v>
      </c>
      <c r="AG37" s="7">
        <v>106</v>
      </c>
      <c r="AH37" s="7">
        <v>503</v>
      </c>
      <c r="AI37" s="14">
        <v>45755</v>
      </c>
      <c r="AJ37" s="21" t="s">
        <v>44</v>
      </c>
      <c r="AK37" s="7">
        <v>2</v>
      </c>
    </row>
    <row r="38" spans="32:37" x14ac:dyDescent="0.25">
      <c r="AF38" s="7">
        <v>37</v>
      </c>
      <c r="AG38" s="7">
        <v>107</v>
      </c>
      <c r="AH38" s="7">
        <v>501</v>
      </c>
      <c r="AI38" s="14">
        <v>45757</v>
      </c>
      <c r="AJ38" s="21" t="s">
        <v>45</v>
      </c>
      <c r="AK38" s="7">
        <v>8</v>
      </c>
    </row>
    <row r="39" spans="32:37" x14ac:dyDescent="0.25">
      <c r="AF39" s="7">
        <v>38</v>
      </c>
      <c r="AG39" s="7">
        <v>108</v>
      </c>
      <c r="AH39" s="7">
        <v>502</v>
      </c>
      <c r="AI39" s="14">
        <v>45759</v>
      </c>
      <c r="AJ39" s="21" t="s">
        <v>44</v>
      </c>
      <c r="AK39" s="7">
        <v>0</v>
      </c>
    </row>
    <row r="40" spans="32:37" x14ac:dyDescent="0.25">
      <c r="AF40" s="7">
        <v>39</v>
      </c>
      <c r="AG40" s="7">
        <v>109</v>
      </c>
      <c r="AH40" s="7">
        <v>503</v>
      </c>
      <c r="AI40" s="14">
        <v>45762</v>
      </c>
      <c r="AJ40" s="21" t="s">
        <v>44</v>
      </c>
      <c r="AK40" s="7">
        <v>4</v>
      </c>
    </row>
    <row r="41" spans="32:37" x14ac:dyDescent="0.25">
      <c r="AF41" s="7">
        <v>40</v>
      </c>
      <c r="AG41" s="7">
        <v>110</v>
      </c>
      <c r="AH41" s="7">
        <v>501</v>
      </c>
      <c r="AI41" s="14">
        <v>45764</v>
      </c>
      <c r="AJ41" s="21" t="s">
        <v>45</v>
      </c>
      <c r="AK41" s="7">
        <v>9</v>
      </c>
    </row>
    <row r="42" spans="32:37" x14ac:dyDescent="0.25">
      <c r="AF42" s="7">
        <v>41</v>
      </c>
      <c r="AG42" s="7">
        <v>101</v>
      </c>
      <c r="AH42" s="7">
        <v>502</v>
      </c>
      <c r="AI42" s="14">
        <v>45767</v>
      </c>
      <c r="AJ42" s="21" t="s">
        <v>44</v>
      </c>
      <c r="AK42" s="7">
        <v>1</v>
      </c>
    </row>
    <row r="43" spans="32:37" x14ac:dyDescent="0.25">
      <c r="AF43" s="7">
        <v>42</v>
      </c>
      <c r="AG43" s="7">
        <v>102</v>
      </c>
      <c r="AH43" s="7">
        <v>503</v>
      </c>
      <c r="AI43" s="14">
        <v>45769</v>
      </c>
      <c r="AJ43" s="21" t="s">
        <v>44</v>
      </c>
      <c r="AK43" s="7">
        <v>2</v>
      </c>
    </row>
    <row r="44" spans="32:37" x14ac:dyDescent="0.25">
      <c r="AF44" s="7">
        <v>43</v>
      </c>
      <c r="AG44" s="7">
        <v>103</v>
      </c>
      <c r="AH44" s="7">
        <v>501</v>
      </c>
      <c r="AI44" s="14">
        <v>45772</v>
      </c>
      <c r="AJ44" s="21" t="s">
        <v>44</v>
      </c>
      <c r="AK44" s="7">
        <v>0</v>
      </c>
    </row>
    <row r="45" spans="32:37" x14ac:dyDescent="0.25">
      <c r="AF45" s="7">
        <v>44</v>
      </c>
      <c r="AG45" s="7">
        <v>104</v>
      </c>
      <c r="AH45" s="7">
        <v>502</v>
      </c>
      <c r="AI45" s="14">
        <v>45775</v>
      </c>
      <c r="AJ45" s="21" t="s">
        <v>45</v>
      </c>
      <c r="AK45" s="7">
        <v>8</v>
      </c>
    </row>
    <row r="46" spans="32:37" x14ac:dyDescent="0.25">
      <c r="AF46" s="7">
        <v>45</v>
      </c>
      <c r="AG46" s="7">
        <v>105</v>
      </c>
      <c r="AH46" s="7">
        <v>503</v>
      </c>
      <c r="AI46" s="14">
        <v>45778</v>
      </c>
      <c r="AJ46" s="21" t="s">
        <v>46</v>
      </c>
      <c r="AK46" s="7">
        <v>2</v>
      </c>
    </row>
    <row r="47" spans="32:37" x14ac:dyDescent="0.25">
      <c r="AF47" s="7">
        <v>46</v>
      </c>
      <c r="AG47" s="7">
        <v>106</v>
      </c>
      <c r="AH47" s="7">
        <v>501</v>
      </c>
      <c r="AI47" s="14">
        <v>45780</v>
      </c>
      <c r="AJ47" s="21" t="s">
        <v>44</v>
      </c>
      <c r="AK47" s="7">
        <v>1</v>
      </c>
    </row>
    <row r="48" spans="32:37" x14ac:dyDescent="0.25">
      <c r="AF48" s="7">
        <v>47</v>
      </c>
      <c r="AG48" s="7">
        <v>107</v>
      </c>
      <c r="AH48" s="7">
        <v>502</v>
      </c>
      <c r="AI48" s="14">
        <v>45782</v>
      </c>
      <c r="AJ48" s="21" t="s">
        <v>44</v>
      </c>
      <c r="AK48" s="7">
        <v>3</v>
      </c>
    </row>
    <row r="49" spans="32:37" x14ac:dyDescent="0.25">
      <c r="AF49" s="7">
        <v>48</v>
      </c>
      <c r="AG49" s="7">
        <v>108</v>
      </c>
      <c r="AH49" s="7">
        <v>503</v>
      </c>
      <c r="AI49" s="14">
        <v>45785</v>
      </c>
      <c r="AJ49" s="21" t="s">
        <v>45</v>
      </c>
      <c r="AK49" s="7">
        <v>7</v>
      </c>
    </row>
    <row r="50" spans="32:37" x14ac:dyDescent="0.25">
      <c r="AF50" s="7">
        <v>49</v>
      </c>
      <c r="AG50" s="7">
        <v>109</v>
      </c>
      <c r="AH50" s="7">
        <v>501</v>
      </c>
      <c r="AI50" s="14">
        <v>45787</v>
      </c>
      <c r="AJ50" s="21" t="s">
        <v>44</v>
      </c>
      <c r="AK50" s="7">
        <v>0</v>
      </c>
    </row>
    <row r="51" spans="32:37" x14ac:dyDescent="0.25">
      <c r="AF51" s="7">
        <v>50</v>
      </c>
      <c r="AG51" s="7">
        <v>110</v>
      </c>
      <c r="AH51" s="7">
        <v>502</v>
      </c>
      <c r="AI51" s="14">
        <v>45789</v>
      </c>
      <c r="AJ51" s="21" t="s">
        <v>44</v>
      </c>
      <c r="AK51" s="7">
        <v>2</v>
      </c>
    </row>
  </sheetData>
  <phoneticPr fontId="1" type="noConversion"/>
  <conditionalFormatting sqref="S2:V11">
    <cfRule type="expression" dxfId="5" priority="4">
      <formula>$V2=$W$3</formula>
    </cfRule>
  </conditionalFormatting>
  <dataValidations count="1">
    <dataValidation type="list" allowBlank="1" showInputMessage="1" showErrorMessage="1" sqref="AR15" xr:uid="{14DC2235-3045-4EA0-BACE-DC8B3B180C29}">
      <formula1>$AG:$AG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2449-25FA-4686-B902-95FAF67C25EC}">
  <dimension ref="A1:K66"/>
  <sheetViews>
    <sheetView zoomScale="111" workbookViewId="0">
      <selection activeCell="A3" sqref="A3"/>
    </sheetView>
  </sheetViews>
  <sheetFormatPr defaultColWidth="9" defaultRowHeight="15" x14ac:dyDescent="0.25"/>
  <cols>
    <col min="1" max="1" width="22.85546875" style="6" bestFit="1" customWidth="1"/>
    <col min="2" max="2" width="28.85546875" style="2" bestFit="1" customWidth="1"/>
    <col min="3" max="3" width="12.140625" style="2" bestFit="1" customWidth="1"/>
    <col min="4" max="4" width="14.7109375" style="15" bestFit="1" customWidth="1"/>
    <col min="5" max="5" width="11.28515625" style="16" bestFit="1" customWidth="1"/>
    <col min="6" max="6" width="15" style="6" bestFit="1" customWidth="1"/>
    <col min="7" max="7" width="32.140625" style="2" bestFit="1" customWidth="1"/>
    <col min="8" max="9" width="13.42578125" style="2" bestFit="1" customWidth="1"/>
    <col min="10" max="10" width="23.7109375" style="2" bestFit="1" customWidth="1"/>
    <col min="11" max="11" width="32.140625" style="2" bestFit="1" customWidth="1"/>
    <col min="12" max="16384" width="9" style="2"/>
  </cols>
  <sheetData>
    <row r="1" spans="1:10" x14ac:dyDescent="0.25">
      <c r="A1" s="8" t="s">
        <v>42</v>
      </c>
      <c r="B1" t="s" vm="1">
        <v>45</v>
      </c>
      <c r="E1" s="8" t="s">
        <v>58</v>
      </c>
      <c r="F1" t="s">
        <v>50</v>
      </c>
      <c r="H1" s="6"/>
    </row>
    <row r="2" spans="1:10" x14ac:dyDescent="0.25">
      <c r="A2"/>
      <c r="B2"/>
      <c r="E2" s="9" t="s">
        <v>44</v>
      </c>
      <c r="F2">
        <v>31</v>
      </c>
      <c r="H2" s="6"/>
    </row>
    <row r="3" spans="1:10" x14ac:dyDescent="0.25">
      <c r="A3" s="8" t="s">
        <v>15</v>
      </c>
      <c r="B3" t="s">
        <v>48</v>
      </c>
      <c r="E3" s="9" t="s">
        <v>45</v>
      </c>
      <c r="F3">
        <v>14</v>
      </c>
      <c r="H3" s="6"/>
    </row>
    <row r="4" spans="1:10" x14ac:dyDescent="0.25">
      <c r="A4" s="9" t="s">
        <v>24</v>
      </c>
      <c r="B4"/>
      <c r="E4" s="9" t="s">
        <v>46</v>
      </c>
      <c r="F4">
        <v>5</v>
      </c>
    </row>
    <row r="5" spans="1:10" x14ac:dyDescent="0.25">
      <c r="A5" s="10" t="s">
        <v>10</v>
      </c>
      <c r="B5">
        <v>8</v>
      </c>
      <c r="E5" s="9" t="s">
        <v>47</v>
      </c>
      <c r="F5">
        <v>50</v>
      </c>
    </row>
    <row r="6" spans="1:10" x14ac:dyDescent="0.25">
      <c r="A6" s="10" t="s">
        <v>6</v>
      </c>
      <c r="B6">
        <v>7</v>
      </c>
    </row>
    <row r="7" spans="1:10" x14ac:dyDescent="0.25">
      <c r="A7" s="9" t="s">
        <v>29</v>
      </c>
      <c r="B7"/>
    </row>
    <row r="8" spans="1:10" x14ac:dyDescent="0.25">
      <c r="A8" s="10" t="s">
        <v>8</v>
      </c>
      <c r="B8">
        <v>17</v>
      </c>
      <c r="H8"/>
      <c r="I8"/>
      <c r="J8"/>
    </row>
    <row r="9" spans="1:10" x14ac:dyDescent="0.25">
      <c r="A9" s="10" t="s">
        <v>10</v>
      </c>
      <c r="B9">
        <v>9</v>
      </c>
      <c r="E9" s="8" t="s">
        <v>59</v>
      </c>
      <c r="F9" s="1" t="s">
        <v>57</v>
      </c>
      <c r="G9" s="1" t="s">
        <v>56</v>
      </c>
      <c r="H9"/>
    </row>
    <row r="10" spans="1:10" x14ac:dyDescent="0.25">
      <c r="A10" s="10" t="s">
        <v>6</v>
      </c>
      <c r="B10">
        <v>8</v>
      </c>
      <c r="E10" s="9" t="s">
        <v>51</v>
      </c>
      <c r="F10" s="1">
        <v>8</v>
      </c>
      <c r="G10" s="1">
        <v>3.875</v>
      </c>
    </row>
    <row r="11" spans="1:10" x14ac:dyDescent="0.25">
      <c r="A11" s="9" t="s">
        <v>18</v>
      </c>
      <c r="B11"/>
      <c r="E11" s="9" t="s">
        <v>52</v>
      </c>
      <c r="F11" s="1">
        <v>12</v>
      </c>
      <c r="G11" s="1">
        <v>3.25</v>
      </c>
    </row>
    <row r="12" spans="1:10" x14ac:dyDescent="0.25">
      <c r="A12" s="10" t="s">
        <v>8</v>
      </c>
      <c r="B12">
        <v>9</v>
      </c>
      <c r="E12" s="9" t="s">
        <v>53</v>
      </c>
      <c r="F12" s="1">
        <v>12</v>
      </c>
      <c r="G12" s="1">
        <v>3.0833333333333335</v>
      </c>
    </row>
    <row r="13" spans="1:10" x14ac:dyDescent="0.25">
      <c r="A13" s="9" t="s">
        <v>21</v>
      </c>
      <c r="B13"/>
      <c r="E13" s="9" t="s">
        <v>54</v>
      </c>
      <c r="F13" s="1">
        <v>12</v>
      </c>
      <c r="G13" s="1">
        <v>3.75</v>
      </c>
    </row>
    <row r="14" spans="1:10" x14ac:dyDescent="0.25">
      <c r="A14" s="10" t="s">
        <v>8</v>
      </c>
      <c r="B14">
        <v>7</v>
      </c>
      <c r="E14" s="9" t="s">
        <v>55</v>
      </c>
      <c r="F14" s="1">
        <v>6</v>
      </c>
      <c r="G14" s="1">
        <v>2.5</v>
      </c>
    </row>
    <row r="15" spans="1:10" x14ac:dyDescent="0.25">
      <c r="A15" s="10" t="s">
        <v>10</v>
      </c>
      <c r="B15">
        <v>16</v>
      </c>
      <c r="E15" s="9" t="s">
        <v>47</v>
      </c>
      <c r="F15" s="1">
        <v>50</v>
      </c>
      <c r="G15" s="1">
        <v>3.34</v>
      </c>
    </row>
    <row r="16" spans="1:10" x14ac:dyDescent="0.25">
      <c r="A16" s="9" t="s">
        <v>27</v>
      </c>
      <c r="B16"/>
    </row>
    <row r="17" spans="1:11" x14ac:dyDescent="0.25">
      <c r="A17" s="10" t="s">
        <v>8</v>
      </c>
      <c r="B17">
        <v>17</v>
      </c>
      <c r="H17"/>
      <c r="I17"/>
      <c r="J17"/>
    </row>
    <row r="18" spans="1:11" x14ac:dyDescent="0.25">
      <c r="A18" s="10" t="s">
        <v>10</v>
      </c>
      <c r="B18">
        <v>7</v>
      </c>
      <c r="H18"/>
      <c r="I18"/>
      <c r="J18"/>
    </row>
    <row r="19" spans="1:11" x14ac:dyDescent="0.25">
      <c r="A19" s="10" t="s">
        <v>6</v>
      </c>
      <c r="B19">
        <v>7</v>
      </c>
      <c r="H19"/>
      <c r="I19"/>
      <c r="J19"/>
      <c r="K19"/>
    </row>
    <row r="20" spans="1:11" x14ac:dyDescent="0.25">
      <c r="A20" s="9" t="s">
        <v>47</v>
      </c>
      <c r="B20">
        <v>112</v>
      </c>
      <c r="H20"/>
      <c r="I20"/>
      <c r="J20"/>
    </row>
    <row r="21" spans="1:11" x14ac:dyDescent="0.25">
      <c r="A21"/>
      <c r="B21"/>
      <c r="H21"/>
      <c r="I21"/>
      <c r="J21"/>
    </row>
    <row r="22" spans="1:11" x14ac:dyDescent="0.25">
      <c r="A22"/>
      <c r="B22"/>
      <c r="H22"/>
      <c r="I22"/>
      <c r="J22"/>
    </row>
    <row r="23" spans="1:11" x14ac:dyDescent="0.25">
      <c r="A23"/>
      <c r="B23"/>
      <c r="H23"/>
      <c r="I23"/>
      <c r="J23"/>
    </row>
    <row r="24" spans="1:11" x14ac:dyDescent="0.25">
      <c r="A24"/>
      <c r="B24"/>
      <c r="H24"/>
      <c r="I24"/>
      <c r="J24"/>
    </row>
    <row r="25" spans="1:11" x14ac:dyDescent="0.25">
      <c r="H25"/>
      <c r="I25"/>
      <c r="J25"/>
    </row>
    <row r="26" spans="1:11" x14ac:dyDescent="0.25">
      <c r="H26"/>
      <c r="I26"/>
      <c r="J26"/>
    </row>
    <row r="27" spans="1:11" x14ac:dyDescent="0.25">
      <c r="H27"/>
      <c r="I27"/>
      <c r="J27"/>
    </row>
    <row r="28" spans="1:11" x14ac:dyDescent="0.25">
      <c r="H28"/>
      <c r="I28"/>
      <c r="J28"/>
    </row>
    <row r="29" spans="1:11" x14ac:dyDescent="0.25">
      <c r="H29"/>
      <c r="I29"/>
      <c r="J29"/>
    </row>
    <row r="30" spans="1:11" x14ac:dyDescent="0.25">
      <c r="H30"/>
      <c r="I30"/>
      <c r="J30"/>
    </row>
    <row r="31" spans="1:11" x14ac:dyDescent="0.25">
      <c r="H31"/>
      <c r="I31"/>
      <c r="J31"/>
    </row>
    <row r="32" spans="1:11" x14ac:dyDescent="0.25">
      <c r="H32"/>
      <c r="I32"/>
      <c r="J32"/>
    </row>
    <row r="33" spans="8:10" x14ac:dyDescent="0.25">
      <c r="H33"/>
      <c r="I33"/>
      <c r="J33"/>
    </row>
    <row r="34" spans="8:10" x14ac:dyDescent="0.25">
      <c r="H34"/>
      <c r="I34"/>
      <c r="J34"/>
    </row>
    <row r="35" spans="8:10" x14ac:dyDescent="0.25">
      <c r="H35"/>
      <c r="I35"/>
      <c r="J35"/>
    </row>
    <row r="36" spans="8:10" x14ac:dyDescent="0.25">
      <c r="H36"/>
      <c r="I36"/>
      <c r="J36"/>
    </row>
    <row r="37" spans="8:10" x14ac:dyDescent="0.25">
      <c r="H37"/>
      <c r="I37"/>
      <c r="J37"/>
    </row>
    <row r="38" spans="8:10" x14ac:dyDescent="0.25">
      <c r="H38"/>
      <c r="I38"/>
      <c r="J38"/>
    </row>
    <row r="39" spans="8:10" x14ac:dyDescent="0.25">
      <c r="H39"/>
      <c r="I39"/>
      <c r="J39"/>
    </row>
    <row r="40" spans="8:10" x14ac:dyDescent="0.25">
      <c r="H40"/>
      <c r="I40"/>
      <c r="J40"/>
    </row>
    <row r="41" spans="8:10" x14ac:dyDescent="0.25">
      <c r="H41"/>
      <c r="I41"/>
      <c r="J41"/>
    </row>
    <row r="42" spans="8:10" x14ac:dyDescent="0.25">
      <c r="H42"/>
      <c r="I42"/>
      <c r="J42"/>
    </row>
    <row r="43" spans="8:10" x14ac:dyDescent="0.25">
      <c r="H43"/>
      <c r="I43"/>
      <c r="J43"/>
    </row>
    <row r="44" spans="8:10" x14ac:dyDescent="0.25">
      <c r="H44"/>
      <c r="I44"/>
      <c r="J44"/>
    </row>
    <row r="45" spans="8:10" x14ac:dyDescent="0.25">
      <c r="H45"/>
      <c r="I45"/>
      <c r="J45"/>
    </row>
    <row r="46" spans="8:10" x14ac:dyDescent="0.25">
      <c r="H46"/>
      <c r="I46"/>
      <c r="J46"/>
    </row>
    <row r="47" spans="8:10" x14ac:dyDescent="0.25">
      <c r="H47"/>
      <c r="I47"/>
      <c r="J47"/>
    </row>
    <row r="48" spans="8:10" x14ac:dyDescent="0.25">
      <c r="H48"/>
      <c r="I48"/>
      <c r="J48"/>
    </row>
    <row r="49" spans="2:10" x14ac:dyDescent="0.25">
      <c r="H49"/>
      <c r="I49"/>
      <c r="J49"/>
    </row>
    <row r="50" spans="2:10" x14ac:dyDescent="0.25">
      <c r="H50"/>
      <c r="I50"/>
      <c r="J50"/>
    </row>
    <row r="51" spans="2:10" x14ac:dyDescent="0.25">
      <c r="H51"/>
      <c r="I51"/>
      <c r="J51"/>
    </row>
    <row r="52" spans="2:10" x14ac:dyDescent="0.25">
      <c r="B52" s="6"/>
      <c r="C52" s="6"/>
      <c r="D52" s="14"/>
      <c r="H52"/>
      <c r="I52"/>
      <c r="J52"/>
    </row>
    <row r="53" spans="2:10" x14ac:dyDescent="0.25">
      <c r="H53"/>
      <c r="I53"/>
      <c r="J53"/>
    </row>
    <row r="54" spans="2:10" x14ac:dyDescent="0.25">
      <c r="H54"/>
      <c r="I54"/>
      <c r="J54"/>
    </row>
    <row r="55" spans="2:10" x14ac:dyDescent="0.25">
      <c r="H55"/>
      <c r="I55"/>
      <c r="J55"/>
    </row>
    <row r="56" spans="2:10" x14ac:dyDescent="0.25">
      <c r="H56"/>
      <c r="I56"/>
      <c r="J56"/>
    </row>
    <row r="57" spans="2:10" x14ac:dyDescent="0.25">
      <c r="H57"/>
      <c r="I57"/>
      <c r="J57"/>
    </row>
    <row r="58" spans="2:10" x14ac:dyDescent="0.25">
      <c r="H58"/>
      <c r="I58"/>
      <c r="J58"/>
    </row>
    <row r="59" spans="2:10" x14ac:dyDescent="0.25">
      <c r="H59"/>
      <c r="I59"/>
      <c r="J59"/>
    </row>
    <row r="60" spans="2:10" x14ac:dyDescent="0.25">
      <c r="H60"/>
      <c r="I60"/>
      <c r="J60"/>
    </row>
    <row r="61" spans="2:10" x14ac:dyDescent="0.25">
      <c r="H61"/>
      <c r="I61"/>
      <c r="J61"/>
    </row>
    <row r="62" spans="2:10" x14ac:dyDescent="0.25">
      <c r="H62"/>
      <c r="I62"/>
      <c r="J62"/>
    </row>
    <row r="63" spans="2:10" x14ac:dyDescent="0.25">
      <c r="H63"/>
      <c r="I63"/>
      <c r="J63"/>
    </row>
    <row r="64" spans="2:10" x14ac:dyDescent="0.25">
      <c r="H64"/>
      <c r="I64"/>
      <c r="J64"/>
    </row>
    <row r="65" spans="8:10" x14ac:dyDescent="0.25">
      <c r="H65"/>
      <c r="I65"/>
      <c r="J65"/>
    </row>
    <row r="66" spans="8:10" x14ac:dyDescent="0.25">
      <c r="H66"/>
      <c r="I66"/>
      <c r="J6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8E32-D449-451A-89ED-54500F10CE47}">
  <dimension ref="A1:J34"/>
  <sheetViews>
    <sheetView showGridLines="0" tabSelected="1" topLeftCell="B1" zoomScale="32" workbookViewId="0">
      <selection activeCell="G19" sqref="G19"/>
    </sheetView>
  </sheetViews>
  <sheetFormatPr defaultColWidth="9" defaultRowHeight="15" x14ac:dyDescent="0.25"/>
  <cols>
    <col min="1" max="1" width="15.42578125" style="2" hidden="1" customWidth="1"/>
    <col min="2" max="2" width="15.42578125" style="2" customWidth="1"/>
    <col min="3" max="3" width="49.5703125" style="2" bestFit="1" customWidth="1"/>
    <col min="4" max="4" width="39.28515625" style="2" bestFit="1" customWidth="1"/>
    <col min="5" max="5" width="52.28515625" style="2" bestFit="1" customWidth="1"/>
    <col min="6" max="6" width="39.28515625" style="2" bestFit="1" customWidth="1"/>
    <col min="7" max="7" width="83" style="2" bestFit="1" customWidth="1"/>
    <col min="8" max="8" width="9" style="2"/>
    <col min="9" max="9" width="63.140625" style="2" bestFit="1" customWidth="1"/>
    <col min="10" max="16384" width="9" style="2"/>
  </cols>
  <sheetData>
    <row r="1" spans="3:10" ht="34.5" thickBot="1" x14ac:dyDescent="0.3">
      <c r="C1" s="19" t="s">
        <v>63</v>
      </c>
      <c r="D1" s="4"/>
      <c r="E1" s="20" t="s">
        <v>12</v>
      </c>
      <c r="G1" s="20" t="s">
        <v>62</v>
      </c>
      <c r="J1" s="4"/>
    </row>
    <row r="2" spans="3:10" ht="15" customHeight="1" x14ac:dyDescent="0.25">
      <c r="C2" s="38">
        <f>SUM(DataBackend!D2:D4)</f>
        <v>20350</v>
      </c>
      <c r="D2" s="12"/>
      <c r="E2" s="41">
        <f>SUM(DataBackend!C2:C4)</f>
        <v>50</v>
      </c>
      <c r="G2" s="41">
        <f>SUM(DataBackend!C2:C4)-SUM(DataBackend!F2:F4)</f>
        <v>36</v>
      </c>
      <c r="J2" s="12"/>
    </row>
    <row r="3" spans="3:10" ht="15" customHeight="1" x14ac:dyDescent="0.25">
      <c r="C3" s="39"/>
      <c r="D3" s="11"/>
      <c r="E3" s="42"/>
      <c r="G3" s="42"/>
      <c r="J3" s="11"/>
    </row>
    <row r="4" spans="3:10" ht="15" customHeight="1" thickBot="1" x14ac:dyDescent="0.3">
      <c r="C4" s="40"/>
      <c r="D4" s="12"/>
      <c r="E4" s="43"/>
      <c r="G4" s="43"/>
      <c r="J4" s="12"/>
    </row>
    <row r="5" spans="3:10" ht="26.25" x14ac:dyDescent="0.25">
      <c r="E5" s="4"/>
      <c r="F5" s="13"/>
      <c r="G5" s="13"/>
    </row>
    <row r="7" spans="3:10" ht="15.75" customHeight="1" x14ac:dyDescent="0.25"/>
    <row r="8" spans="3:10" x14ac:dyDescent="0.25">
      <c r="C8"/>
      <c r="D8"/>
      <c r="E8"/>
      <c r="F8"/>
      <c r="G8"/>
    </row>
    <row r="9" spans="3:10" x14ac:dyDescent="0.25">
      <c r="C9"/>
      <c r="D9"/>
      <c r="E9"/>
      <c r="F9"/>
      <c r="G9"/>
      <c r="H9"/>
      <c r="I9" s="4"/>
    </row>
    <row r="10" spans="3:10" ht="31.5" x14ac:dyDescent="0.25">
      <c r="C10"/>
      <c r="D10"/>
      <c r="E10"/>
      <c r="F10" t="s">
        <v>49</v>
      </c>
      <c r="G10"/>
      <c r="H10"/>
      <c r="I10" s="12"/>
    </row>
    <row r="11" spans="3:10" ht="31.5" x14ac:dyDescent="0.25">
      <c r="C11"/>
      <c r="D11"/>
      <c r="E11"/>
      <c r="F11"/>
      <c r="G11"/>
      <c r="H11"/>
      <c r="I11" s="11"/>
    </row>
    <row r="12" spans="3:10" ht="31.5" x14ac:dyDescent="0.25">
      <c r="C12"/>
      <c r="D12"/>
      <c r="E12"/>
      <c r="F12"/>
      <c r="G12"/>
      <c r="H12"/>
      <c r="I12" s="12"/>
    </row>
    <row r="13" spans="3:10" x14ac:dyDescent="0.25">
      <c r="C13"/>
      <c r="D13"/>
      <c r="E13"/>
      <c r="F13"/>
      <c r="G13"/>
      <c r="H13"/>
      <c r="I13"/>
    </row>
    <row r="14" spans="3:10" x14ac:dyDescent="0.25">
      <c r="C14"/>
      <c r="D14"/>
      <c r="E14"/>
      <c r="F14"/>
      <c r="G14"/>
      <c r="H14"/>
      <c r="I14"/>
    </row>
    <row r="15" spans="3:10" x14ac:dyDescent="0.25">
      <c r="C15"/>
      <c r="D15"/>
      <c r="E15"/>
      <c r="F15"/>
      <c r="G15"/>
      <c r="H15"/>
      <c r="I15"/>
    </row>
    <row r="16" spans="3:10" x14ac:dyDescent="0.25">
      <c r="C16"/>
      <c r="D16"/>
      <c r="E16"/>
      <c r="F16"/>
      <c r="G16"/>
      <c r="H16"/>
      <c r="I16"/>
    </row>
    <row r="17" spans="3:9" x14ac:dyDescent="0.25">
      <c r="C17"/>
      <c r="D17"/>
      <c r="E17"/>
      <c r="F17"/>
      <c r="G17"/>
      <c r="H17"/>
      <c r="I17"/>
    </row>
    <row r="18" spans="3:9" x14ac:dyDescent="0.25">
      <c r="C18"/>
      <c r="D18"/>
      <c r="E18"/>
      <c r="F18"/>
      <c r="G18"/>
      <c r="H18"/>
      <c r="I18"/>
    </row>
    <row r="19" spans="3:9" x14ac:dyDescent="0.25">
      <c r="C19"/>
      <c r="D19"/>
      <c r="E19"/>
      <c r="F19"/>
      <c r="G19"/>
      <c r="H19"/>
      <c r="I19"/>
    </row>
    <row r="20" spans="3:9" x14ac:dyDescent="0.25">
      <c r="C20"/>
      <c r="D20"/>
      <c r="E20"/>
      <c r="F20"/>
      <c r="G20"/>
      <c r="H20"/>
      <c r="I20"/>
    </row>
    <row r="21" spans="3:9" x14ac:dyDescent="0.25">
      <c r="C21"/>
      <c r="D21"/>
      <c r="E21"/>
      <c r="F21"/>
      <c r="G21"/>
      <c r="H21"/>
      <c r="I21"/>
    </row>
    <row r="22" spans="3:9" x14ac:dyDescent="0.25">
      <c r="C22"/>
      <c r="D22"/>
      <c r="E22"/>
      <c r="F22"/>
      <c r="G22"/>
      <c r="H22"/>
      <c r="I22"/>
    </row>
    <row r="23" spans="3:9" x14ac:dyDescent="0.25">
      <c r="C23"/>
      <c r="D23"/>
      <c r="E23"/>
      <c r="F23"/>
      <c r="G23"/>
      <c r="H23"/>
      <c r="I23"/>
    </row>
    <row r="24" spans="3:9" x14ac:dyDescent="0.25">
      <c r="C24"/>
      <c r="D24"/>
      <c r="E24"/>
      <c r="F24"/>
      <c r="G24"/>
      <c r="H24"/>
      <c r="I24"/>
    </row>
    <row r="25" spans="3:9" x14ac:dyDescent="0.25">
      <c r="C25"/>
      <c r="D25"/>
      <c r="E25"/>
      <c r="F25"/>
      <c r="G25"/>
      <c r="H25"/>
      <c r="I25"/>
    </row>
    <row r="26" spans="3:9" x14ac:dyDescent="0.25">
      <c r="C26"/>
      <c r="D26"/>
      <c r="E26"/>
      <c r="F26"/>
      <c r="G26"/>
      <c r="H26"/>
      <c r="I26"/>
    </row>
    <row r="27" spans="3:9" x14ac:dyDescent="0.25">
      <c r="C27"/>
      <c r="D27"/>
      <c r="E27"/>
      <c r="F27"/>
      <c r="G27"/>
      <c r="H27"/>
    </row>
    <row r="28" spans="3:9" x14ac:dyDescent="0.25">
      <c r="C28"/>
      <c r="D28"/>
      <c r="E28"/>
      <c r="F28"/>
      <c r="G28"/>
      <c r="H28"/>
    </row>
    <row r="29" spans="3:9" x14ac:dyDescent="0.25">
      <c r="C29"/>
      <c r="D29"/>
      <c r="E29"/>
    </row>
    <row r="30" spans="3:9" x14ac:dyDescent="0.25">
      <c r="C30"/>
      <c r="D30"/>
      <c r="E30"/>
    </row>
    <row r="31" spans="3:9" x14ac:dyDescent="0.25">
      <c r="C31"/>
      <c r="D31"/>
    </row>
    <row r="32" spans="3:9" x14ac:dyDescent="0.25">
      <c r="C32"/>
      <c r="D32"/>
    </row>
    <row r="33" spans="3:4" x14ac:dyDescent="0.25">
      <c r="C33"/>
      <c r="D33"/>
    </row>
    <row r="34" spans="3:4" x14ac:dyDescent="0.25">
      <c r="C34"/>
      <c r="D34"/>
    </row>
  </sheetData>
  <mergeCells count="3">
    <mergeCell ref="C2:C4"/>
    <mergeCell ref="E2:E4"/>
    <mergeCell ref="G2:G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96AA7B-A596-4F38-B79E-047A9E0DBC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DataBackend</vt:lpstr>
      <vt:lpstr>Pivot Calculations</vt:lpstr>
      <vt:lpstr>Executive Dashboard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2026-09-27T11:14:03Z</dcterms:created>
  <dcterms:modified xsi:type="dcterms:W3CDTF">2026-10-21T22:14:26Z</dcterms:modified>
</cp:coreProperties>
</file>